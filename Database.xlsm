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elim\my_learn\study-Excel-udemy\المستوى الثالث\"/>
    </mc:Choice>
  </mc:AlternateContent>
  <xr:revisionPtr revIDLastSave="0" documentId="13_ncr:1_{A40427D2-2141-4331-9A4C-3A39001892EE}" xr6:coauthVersionLast="47" xr6:coauthVersionMax="47" xr10:uidLastSave="{00000000-0000-0000-0000-000000000000}"/>
  <bookViews>
    <workbookView xWindow="2460" yWindow="2460" windowWidth="21600" windowHeight="11385" tabRatio="534" xr2:uid="{83450228-6ABB-4463-9E01-81C2F552CCAF}"/>
  </bookViews>
  <sheets>
    <sheet name="Database" sheetId="5" r:id="rId1"/>
  </sheets>
  <definedNames>
    <definedName name="_xlnm._FilterDatabase" localSheetId="0" hidden="1">Database!$A$1:$L$101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8576" i="5" l="1"/>
  <c r="G79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2" i="5"/>
  <c r="G102" i="5" l="1"/>
  <c r="G1048576" i="5" s="1"/>
</calcChain>
</file>

<file path=xl/sharedStrings.xml><?xml version="1.0" encoding="utf-8"?>
<sst xmlns="http://schemas.openxmlformats.org/spreadsheetml/2006/main" count="512" uniqueCount="85">
  <si>
    <t>Date</t>
  </si>
  <si>
    <t>Customer</t>
  </si>
  <si>
    <t>Product</t>
  </si>
  <si>
    <t>Quantity</t>
  </si>
  <si>
    <t>Country</t>
  </si>
  <si>
    <t>Region</t>
  </si>
  <si>
    <t>Month</t>
  </si>
  <si>
    <t>AliTech</t>
  </si>
  <si>
    <t>Saudi Arabia</t>
  </si>
  <si>
    <t>Middle East</t>
  </si>
  <si>
    <t>January</t>
  </si>
  <si>
    <t>StarMall</t>
  </si>
  <si>
    <t>Keyboard</t>
  </si>
  <si>
    <t>UAE</t>
  </si>
  <si>
    <t>Shopper's Hub</t>
  </si>
  <si>
    <t>Headphones</t>
  </si>
  <si>
    <t>Egypt</t>
  </si>
  <si>
    <t>North Africa</t>
  </si>
  <si>
    <t>Algeria</t>
  </si>
  <si>
    <t>TechMart</t>
  </si>
  <si>
    <t>Monitor</t>
  </si>
  <si>
    <t>Lebanon</t>
  </si>
  <si>
    <t>Levant</t>
  </si>
  <si>
    <t>Wireless Charger</t>
  </si>
  <si>
    <t>Jordan</t>
  </si>
  <si>
    <t>Qatar</t>
  </si>
  <si>
    <t>External Hard Drive</t>
  </si>
  <si>
    <t>Desk Lamp</t>
  </si>
  <si>
    <t>Bluetooth Speaker</t>
  </si>
  <si>
    <t>February</t>
  </si>
  <si>
    <t>Power Bank</t>
  </si>
  <si>
    <t>N°</t>
  </si>
  <si>
    <t>March</t>
  </si>
  <si>
    <t>April</t>
  </si>
  <si>
    <t>Fitness Tracker</t>
  </si>
  <si>
    <t>May</t>
  </si>
  <si>
    <t>EcoShop</t>
  </si>
  <si>
    <t>TechDeals</t>
  </si>
  <si>
    <t>DailyEssentials</t>
  </si>
  <si>
    <t>ValueMart</t>
  </si>
  <si>
    <t>FreshStart</t>
  </si>
  <si>
    <t>June</t>
  </si>
  <si>
    <t>CityEssentials</t>
  </si>
  <si>
    <t>LifeGoods</t>
  </si>
  <si>
    <t>RapidDeals</t>
  </si>
  <si>
    <t>SuperShop</t>
  </si>
  <si>
    <t>EasyMart</t>
  </si>
  <si>
    <t>ValueShop</t>
  </si>
  <si>
    <t>ShopperPlus</t>
  </si>
  <si>
    <t>BrightDeals</t>
  </si>
  <si>
    <t>MegaGadgets</t>
  </si>
  <si>
    <t>July</t>
  </si>
  <si>
    <t>Smartwatch</t>
  </si>
  <si>
    <t>August</t>
  </si>
  <si>
    <t>Libya</t>
  </si>
  <si>
    <t>Tunisia</t>
  </si>
  <si>
    <t>Unit Price</t>
  </si>
  <si>
    <t>Sales</t>
  </si>
  <si>
    <t>Total Profit</t>
  </si>
  <si>
    <t>Week Number</t>
  </si>
  <si>
    <t>Smartphone</t>
  </si>
  <si>
    <t>Mouse</t>
  </si>
  <si>
    <t>Printer</t>
  </si>
  <si>
    <t>Portable SSD</t>
  </si>
  <si>
    <t>USB Flash Drive</t>
  </si>
  <si>
    <t>Laptop</t>
  </si>
  <si>
    <t>Projector</t>
  </si>
  <si>
    <t>Tablet</t>
  </si>
  <si>
    <t>Router</t>
  </si>
  <si>
    <t>Camera</t>
  </si>
  <si>
    <t>September</t>
  </si>
  <si>
    <t>October</t>
  </si>
  <si>
    <t>November</t>
  </si>
  <si>
    <t>December</t>
  </si>
  <si>
    <t>Bahrain</t>
  </si>
  <si>
    <t>Iraq</t>
  </si>
  <si>
    <t>Kuwait</t>
  </si>
  <si>
    <t>Oman</t>
  </si>
  <si>
    <t>Palestine</t>
  </si>
  <si>
    <t>Syria</t>
  </si>
  <si>
    <t>Yemen</t>
  </si>
  <si>
    <t>Horn of Africa</t>
  </si>
  <si>
    <t>Sudan</t>
  </si>
  <si>
    <t>South Sudan</t>
  </si>
  <si>
    <t>Western Sahara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</si>
</sst>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 wrapText="1"/>
    </xf>
  </cellXfs>
  <cellStyles count="2">
    <cellStyle name="Comma 2" xfId="1" xr:uid="{5C5D586A-FBF2-48E9-8F9A-4DCA9D9CFF54}"/>
    <cellStyle name="Normal" xfId="0" builtinId="0"/>
  </cellStyles>
  <dxfs count="0"/>
  <tableStyles count="0" defaultTableStyle="TableStyleMedium2" defaultPivotStyle="PivotStyleLight16"/>
  <colors>
    <mruColors>
      <color rgb="FF758D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0DA68-6E76-451A-8306-2274127BD9BA}">
  <sheetPr codeName="Sheet1">
    <tabColor rgb="FF00B050"/>
  </sheetPr>
  <dimension ref="A1:L1048576"/>
  <sheetViews>
    <sheetView tabSelected="1" zoomScale="145" zoomScaleNormal="145" workbookViewId="0">
      <pane ySplit="1" topLeftCell="A89" activePane="bottomLeft" state="frozen"/>
      <selection pane="bottomLeft" activeCell="F100" sqref="F100"/>
    </sheetView>
  </sheetViews>
  <sheetFormatPr defaultRowHeight="15" x14ac:dyDescent="0.25"/>
  <cols>
    <col min="1" max="1" width="5.5703125" style="2" customWidth="1"/>
    <col min="2" max="2" width="11.28515625" style="2" bestFit="1" customWidth="1"/>
    <col min="3" max="3" width="14.28515625" style="8" bestFit="1" customWidth="1"/>
    <col min="4" max="4" width="18.28515625" style="8" bestFit="1" customWidth="1"/>
    <col min="5" max="5" width="9.7109375" style="5" bestFit="1" customWidth="1"/>
    <col min="6" max="6" width="8.7109375" style="2" bestFit="1" customWidth="1"/>
    <col min="7" max="7" width="11.7109375" style="5" bestFit="1" customWidth="1"/>
    <col min="8" max="8" width="10.85546875" style="5" bestFit="1" customWidth="1"/>
    <col min="9" max="9" width="14.140625" style="8" bestFit="1" customWidth="1"/>
    <col min="10" max="10" width="13.28515625" style="8" bestFit="1" customWidth="1"/>
    <col min="11" max="11" width="13.140625" style="2" customWidth="1"/>
    <col min="12" max="12" width="9.7109375" style="2" customWidth="1"/>
  </cols>
  <sheetData>
    <row r="1" spans="1:12" s="11" customFormat="1" ht="36" customHeight="1" x14ac:dyDescent="0.25">
      <c r="A1" s="6" t="s">
        <v>31</v>
      </c>
      <c r="B1" s="6" t="s">
        <v>0</v>
      </c>
      <c r="C1" s="6" t="s">
        <v>1</v>
      </c>
      <c r="D1" s="6" t="s">
        <v>2</v>
      </c>
      <c r="E1" s="7" t="s">
        <v>56</v>
      </c>
      <c r="F1" s="6" t="s">
        <v>3</v>
      </c>
      <c r="G1" s="7" t="s">
        <v>57</v>
      </c>
      <c r="H1" s="7" t="s">
        <v>58</v>
      </c>
      <c r="I1" s="6" t="s">
        <v>4</v>
      </c>
      <c r="J1" s="6" t="s">
        <v>5</v>
      </c>
      <c r="K1" s="6" t="s">
        <v>6</v>
      </c>
      <c r="L1" s="6" t="s">
        <v>59</v>
      </c>
    </row>
    <row r="2" spans="1:12" x14ac:dyDescent="0.25">
      <c r="A2" s="3">
        <v>1</v>
      </c>
      <c r="B2" s="1">
        <v>46023</v>
      </c>
      <c r="C2" s="9" t="s">
        <v>7</v>
      </c>
      <c r="D2" s="10" t="s">
        <v>12</v>
      </c>
      <c r="E2" s="4">
        <v>108.87</v>
      </c>
      <c r="F2" s="3">
        <v>71</v>
      </c>
      <c r="G2" s="4">
        <f>E2*F2</f>
        <v>7729.77</v>
      </c>
      <c r="H2" s="4">
        <v>1555.91</v>
      </c>
      <c r="I2" s="9" t="s">
        <v>8</v>
      </c>
      <c r="J2" s="9" t="s">
        <v>9</v>
      </c>
      <c r="K2" s="3" t="s">
        <v>10</v>
      </c>
      <c r="L2" s="3">
        <v>1</v>
      </c>
    </row>
    <row r="3" spans="1:12" x14ac:dyDescent="0.25">
      <c r="A3" s="3">
        <v>2</v>
      </c>
      <c r="B3" s="1">
        <v>46024</v>
      </c>
      <c r="C3" s="9" t="s">
        <v>11</v>
      </c>
      <c r="D3" s="10" t="s">
        <v>27</v>
      </c>
      <c r="E3" s="4">
        <v>14.99</v>
      </c>
      <c r="F3" s="3">
        <v>25</v>
      </c>
      <c r="G3" s="4">
        <f t="shared" ref="G3:G66" si="0">E3*F3</f>
        <v>374.75</v>
      </c>
      <c r="H3" s="4">
        <v>41.96</v>
      </c>
      <c r="I3" s="9" t="s">
        <v>13</v>
      </c>
      <c r="J3" s="9" t="s">
        <v>9</v>
      </c>
      <c r="K3" s="3" t="s">
        <v>10</v>
      </c>
      <c r="L3" s="3">
        <v>1</v>
      </c>
    </row>
    <row r="4" spans="1:12" x14ac:dyDescent="0.25">
      <c r="A4" s="3">
        <v>3</v>
      </c>
      <c r="B4" s="1">
        <v>46027</v>
      </c>
      <c r="C4" s="9" t="s">
        <v>14</v>
      </c>
      <c r="D4" s="10" t="s">
        <v>60</v>
      </c>
      <c r="E4" s="4">
        <v>279.74</v>
      </c>
      <c r="F4" s="3">
        <v>9</v>
      </c>
      <c r="G4" s="4">
        <f t="shared" si="0"/>
        <v>2517.66</v>
      </c>
      <c r="H4" s="4">
        <v>597.76</v>
      </c>
      <c r="I4" s="9" t="s">
        <v>16</v>
      </c>
      <c r="J4" s="9" t="s">
        <v>17</v>
      </c>
      <c r="K4" s="3" t="s">
        <v>10</v>
      </c>
      <c r="L4" s="3">
        <v>2</v>
      </c>
    </row>
    <row r="5" spans="1:12" x14ac:dyDescent="0.25">
      <c r="A5" s="3">
        <v>4</v>
      </c>
      <c r="B5" s="1">
        <v>46030</v>
      </c>
      <c r="C5" s="9" t="s">
        <v>7</v>
      </c>
      <c r="D5" s="10" t="s">
        <v>61</v>
      </c>
      <c r="E5" s="4">
        <v>494.57</v>
      </c>
      <c r="F5" s="3">
        <v>48</v>
      </c>
      <c r="G5" s="4">
        <f t="shared" si="0"/>
        <v>23739.360000000001</v>
      </c>
      <c r="H5" s="4">
        <v>5261.71</v>
      </c>
      <c r="I5" s="9" t="s">
        <v>18</v>
      </c>
      <c r="J5" s="9" t="s">
        <v>17</v>
      </c>
      <c r="K5" s="3" t="s">
        <v>10</v>
      </c>
      <c r="L5" s="3">
        <v>2</v>
      </c>
    </row>
    <row r="6" spans="1:12" x14ac:dyDescent="0.25">
      <c r="A6" s="3">
        <v>5</v>
      </c>
      <c r="B6" s="1">
        <v>46032</v>
      </c>
      <c r="C6" s="9" t="s">
        <v>19</v>
      </c>
      <c r="D6" s="10" t="s">
        <v>62</v>
      </c>
      <c r="E6" s="4">
        <v>154.05000000000001</v>
      </c>
      <c r="F6" s="3">
        <v>41</v>
      </c>
      <c r="G6" s="4">
        <f t="shared" si="0"/>
        <v>6316.05</v>
      </c>
      <c r="H6" s="4">
        <v>1530.86</v>
      </c>
      <c r="I6" s="9" t="s">
        <v>21</v>
      </c>
      <c r="J6" s="9" t="s">
        <v>22</v>
      </c>
      <c r="K6" s="3" t="s">
        <v>10</v>
      </c>
      <c r="L6" s="3">
        <v>2</v>
      </c>
    </row>
    <row r="7" spans="1:12" x14ac:dyDescent="0.25">
      <c r="A7" s="3">
        <v>6</v>
      </c>
      <c r="B7" s="1">
        <v>46054</v>
      </c>
      <c r="C7" s="9" t="s">
        <v>11</v>
      </c>
      <c r="D7" s="10" t="s">
        <v>12</v>
      </c>
      <c r="E7" s="4">
        <v>118.71</v>
      </c>
      <c r="F7" s="3">
        <v>45</v>
      </c>
      <c r="G7" s="4">
        <f t="shared" si="0"/>
        <v>5341.95</v>
      </c>
      <c r="H7" s="4">
        <v>1598.26</v>
      </c>
      <c r="I7" s="9" t="s">
        <v>16</v>
      </c>
      <c r="J7" s="9" t="s">
        <v>17</v>
      </c>
      <c r="K7" s="3" t="s">
        <v>29</v>
      </c>
      <c r="L7" s="3">
        <v>5</v>
      </c>
    </row>
    <row r="8" spans="1:12" x14ac:dyDescent="0.25">
      <c r="A8" s="3">
        <v>7</v>
      </c>
      <c r="B8" s="1">
        <v>46056</v>
      </c>
      <c r="C8" s="9" t="s">
        <v>14</v>
      </c>
      <c r="D8" s="10" t="s">
        <v>12</v>
      </c>
      <c r="E8" s="4">
        <v>41.4</v>
      </c>
      <c r="F8" s="3">
        <v>35</v>
      </c>
      <c r="G8" s="4">
        <f t="shared" si="0"/>
        <v>1449</v>
      </c>
      <c r="H8" s="4">
        <v>167.95</v>
      </c>
      <c r="I8" s="9" t="s">
        <v>54</v>
      </c>
      <c r="J8" s="9" t="s">
        <v>22</v>
      </c>
      <c r="K8" s="3" t="s">
        <v>29</v>
      </c>
      <c r="L8" s="3">
        <v>6</v>
      </c>
    </row>
    <row r="9" spans="1:12" x14ac:dyDescent="0.25">
      <c r="A9" s="3">
        <v>8</v>
      </c>
      <c r="B9" s="1">
        <v>46060</v>
      </c>
      <c r="C9" s="9" t="s">
        <v>19</v>
      </c>
      <c r="D9" s="10" t="s">
        <v>63</v>
      </c>
      <c r="E9" s="4">
        <v>230.25</v>
      </c>
      <c r="F9" s="3">
        <v>41</v>
      </c>
      <c r="G9" s="4">
        <f t="shared" si="0"/>
        <v>9440.25</v>
      </c>
      <c r="H9" s="4">
        <v>1306.6400000000001</v>
      </c>
      <c r="I9" s="9" t="s">
        <v>25</v>
      </c>
      <c r="J9" s="9" t="s">
        <v>9</v>
      </c>
      <c r="K9" s="3" t="s">
        <v>29</v>
      </c>
      <c r="L9" s="3">
        <v>6</v>
      </c>
    </row>
    <row r="10" spans="1:12" x14ac:dyDescent="0.25">
      <c r="A10" s="3">
        <v>9</v>
      </c>
      <c r="B10" s="1">
        <v>46063</v>
      </c>
      <c r="C10" s="9" t="s">
        <v>7</v>
      </c>
      <c r="D10" s="10" t="s">
        <v>12</v>
      </c>
      <c r="E10" s="4">
        <v>323.89</v>
      </c>
      <c r="F10" s="3">
        <v>15</v>
      </c>
      <c r="G10" s="4">
        <f t="shared" si="0"/>
        <v>4858.3499999999995</v>
      </c>
      <c r="H10" s="4">
        <v>1044.9000000000001</v>
      </c>
      <c r="I10" s="9" t="s">
        <v>8</v>
      </c>
      <c r="J10" s="9" t="s">
        <v>9</v>
      </c>
      <c r="K10" s="3" t="s">
        <v>29</v>
      </c>
      <c r="L10" s="3">
        <v>7</v>
      </c>
    </row>
    <row r="11" spans="1:12" x14ac:dyDescent="0.25">
      <c r="A11" s="3">
        <v>10</v>
      </c>
      <c r="B11" s="1">
        <v>46082</v>
      </c>
      <c r="C11" s="9" t="s">
        <v>11</v>
      </c>
      <c r="D11" s="10" t="s">
        <v>64</v>
      </c>
      <c r="E11" s="4">
        <v>73.900000000000006</v>
      </c>
      <c r="F11" s="3">
        <v>32</v>
      </c>
      <c r="G11" s="4">
        <f t="shared" si="0"/>
        <v>2364.8000000000002</v>
      </c>
      <c r="H11" s="4">
        <v>649.15</v>
      </c>
      <c r="I11" s="9" t="s">
        <v>13</v>
      </c>
      <c r="J11" s="9" t="s">
        <v>9</v>
      </c>
      <c r="K11" s="3" t="s">
        <v>32</v>
      </c>
      <c r="L11" s="3">
        <v>9</v>
      </c>
    </row>
    <row r="12" spans="1:12" x14ac:dyDescent="0.25">
      <c r="A12" s="3">
        <v>11</v>
      </c>
      <c r="B12" s="1">
        <v>46085</v>
      </c>
      <c r="C12" s="9" t="s">
        <v>14</v>
      </c>
      <c r="D12" s="10" t="s">
        <v>65</v>
      </c>
      <c r="E12" s="4">
        <v>256.13</v>
      </c>
      <c r="F12" s="3">
        <v>23</v>
      </c>
      <c r="G12" s="4">
        <f t="shared" si="0"/>
        <v>5890.99</v>
      </c>
      <c r="H12" s="4">
        <v>1647.48</v>
      </c>
      <c r="I12" s="9" t="s">
        <v>16</v>
      </c>
      <c r="J12" s="9" t="s">
        <v>17</v>
      </c>
      <c r="K12" s="3" t="s">
        <v>32</v>
      </c>
      <c r="L12" s="3">
        <v>10</v>
      </c>
    </row>
    <row r="13" spans="1:12" x14ac:dyDescent="0.25">
      <c r="A13" s="3">
        <v>12</v>
      </c>
      <c r="B13" s="1">
        <v>46087</v>
      </c>
      <c r="C13" s="9" t="s">
        <v>7</v>
      </c>
      <c r="D13" s="10" t="s">
        <v>60</v>
      </c>
      <c r="E13" s="4">
        <v>347.78</v>
      </c>
      <c r="F13" s="3">
        <v>65</v>
      </c>
      <c r="G13" s="4">
        <f t="shared" si="0"/>
        <v>22605.699999999997</v>
      </c>
      <c r="H13" s="4">
        <v>5907.7</v>
      </c>
      <c r="I13" s="9" t="s">
        <v>18</v>
      </c>
      <c r="J13" s="9" t="s">
        <v>17</v>
      </c>
      <c r="K13" s="3" t="s">
        <v>32</v>
      </c>
      <c r="L13" s="3">
        <v>10</v>
      </c>
    </row>
    <row r="14" spans="1:12" x14ac:dyDescent="0.25">
      <c r="A14" s="3">
        <v>13</v>
      </c>
      <c r="B14" s="1">
        <v>46089</v>
      </c>
      <c r="C14" s="9" t="s">
        <v>11</v>
      </c>
      <c r="D14" s="10" t="s">
        <v>26</v>
      </c>
      <c r="E14" s="4">
        <v>463.21</v>
      </c>
      <c r="F14" s="3">
        <v>97</v>
      </c>
      <c r="G14" s="4">
        <f t="shared" si="0"/>
        <v>44931.369999999995</v>
      </c>
      <c r="H14" s="4">
        <v>9210.31</v>
      </c>
      <c r="I14" s="9" t="s">
        <v>16</v>
      </c>
      <c r="J14" s="9" t="s">
        <v>17</v>
      </c>
      <c r="K14" s="3" t="s">
        <v>32</v>
      </c>
      <c r="L14" s="3">
        <v>10</v>
      </c>
    </row>
    <row r="15" spans="1:12" x14ac:dyDescent="0.25">
      <c r="A15" s="3">
        <v>14</v>
      </c>
      <c r="B15" s="1">
        <v>46114</v>
      </c>
      <c r="C15" s="9" t="s">
        <v>14</v>
      </c>
      <c r="D15" s="10" t="s">
        <v>65</v>
      </c>
      <c r="E15" s="4">
        <v>482.83</v>
      </c>
      <c r="F15" s="3">
        <v>87</v>
      </c>
      <c r="G15" s="4">
        <f t="shared" si="0"/>
        <v>42006.21</v>
      </c>
      <c r="H15" s="4">
        <v>11238.71</v>
      </c>
      <c r="I15" s="9" t="s">
        <v>24</v>
      </c>
      <c r="J15" s="9" t="s">
        <v>22</v>
      </c>
      <c r="K15" s="3" t="s">
        <v>33</v>
      </c>
      <c r="L15" s="3">
        <v>14</v>
      </c>
    </row>
    <row r="16" spans="1:12" x14ac:dyDescent="0.25">
      <c r="A16" s="3">
        <v>15</v>
      </c>
      <c r="B16" s="1">
        <v>46117</v>
      </c>
      <c r="C16" s="9" t="s">
        <v>19</v>
      </c>
      <c r="D16" s="10" t="s">
        <v>63</v>
      </c>
      <c r="E16" s="4">
        <v>90.53</v>
      </c>
      <c r="F16" s="3">
        <v>72</v>
      </c>
      <c r="G16" s="4">
        <f t="shared" si="0"/>
        <v>6518.16</v>
      </c>
      <c r="H16" s="4">
        <v>663.22</v>
      </c>
      <c r="I16" s="9" t="s">
        <v>21</v>
      </c>
      <c r="J16" s="9" t="s">
        <v>22</v>
      </c>
      <c r="K16" s="3" t="s">
        <v>33</v>
      </c>
      <c r="L16" s="3">
        <v>14</v>
      </c>
    </row>
    <row r="17" spans="1:12" x14ac:dyDescent="0.25">
      <c r="A17" s="3">
        <v>16</v>
      </c>
      <c r="B17" s="1">
        <v>46119</v>
      </c>
      <c r="C17" s="9" t="s">
        <v>7</v>
      </c>
      <c r="D17" s="10" t="s">
        <v>66</v>
      </c>
      <c r="E17" s="4">
        <v>192.73</v>
      </c>
      <c r="F17" s="3">
        <v>10</v>
      </c>
      <c r="G17" s="4">
        <f t="shared" si="0"/>
        <v>1927.3</v>
      </c>
      <c r="H17" s="4">
        <v>222.11</v>
      </c>
      <c r="I17" s="9" t="s">
        <v>8</v>
      </c>
      <c r="J17" s="9" t="s">
        <v>9</v>
      </c>
      <c r="K17" s="3" t="s">
        <v>33</v>
      </c>
      <c r="L17" s="3">
        <v>15</v>
      </c>
    </row>
    <row r="18" spans="1:12" x14ac:dyDescent="0.25">
      <c r="A18" s="3">
        <v>17</v>
      </c>
      <c r="B18" s="1">
        <v>46122</v>
      </c>
      <c r="C18" s="9" t="s">
        <v>11</v>
      </c>
      <c r="D18" s="10" t="s">
        <v>28</v>
      </c>
      <c r="E18" s="4">
        <v>444.12</v>
      </c>
      <c r="F18" s="3">
        <v>49</v>
      </c>
      <c r="G18" s="4">
        <f t="shared" si="0"/>
        <v>21761.88</v>
      </c>
      <c r="H18" s="4">
        <v>5867.18</v>
      </c>
      <c r="I18" s="9" t="s">
        <v>13</v>
      </c>
      <c r="J18" s="9" t="s">
        <v>9</v>
      </c>
      <c r="K18" s="3" t="s">
        <v>33</v>
      </c>
      <c r="L18" s="3">
        <v>15</v>
      </c>
    </row>
    <row r="19" spans="1:12" x14ac:dyDescent="0.25">
      <c r="A19" s="3">
        <v>18</v>
      </c>
      <c r="B19" s="1">
        <v>46124</v>
      </c>
      <c r="C19" s="9" t="s">
        <v>14</v>
      </c>
      <c r="D19" s="10" t="s">
        <v>26</v>
      </c>
      <c r="E19" s="4">
        <v>476.79</v>
      </c>
      <c r="F19" s="3">
        <v>8</v>
      </c>
      <c r="G19" s="4">
        <f t="shared" si="0"/>
        <v>3814.32</v>
      </c>
      <c r="H19" s="4">
        <v>717.27</v>
      </c>
      <c r="I19" s="9" t="s">
        <v>16</v>
      </c>
      <c r="J19" s="9" t="s">
        <v>17</v>
      </c>
      <c r="K19" s="3" t="s">
        <v>33</v>
      </c>
      <c r="L19" s="3">
        <v>15</v>
      </c>
    </row>
    <row r="20" spans="1:12" x14ac:dyDescent="0.25">
      <c r="A20" s="3">
        <v>19</v>
      </c>
      <c r="B20" s="1">
        <v>46126</v>
      </c>
      <c r="C20" s="9" t="s">
        <v>19</v>
      </c>
      <c r="D20" s="10" t="s">
        <v>67</v>
      </c>
      <c r="E20" s="4">
        <v>497</v>
      </c>
      <c r="F20" s="3">
        <v>21</v>
      </c>
      <c r="G20" s="4">
        <f t="shared" si="0"/>
        <v>10437</v>
      </c>
      <c r="H20" s="4">
        <v>1860.89</v>
      </c>
      <c r="I20" s="9" t="s">
        <v>18</v>
      </c>
      <c r="J20" s="9" t="s">
        <v>17</v>
      </c>
      <c r="K20" s="3" t="s">
        <v>33</v>
      </c>
      <c r="L20" s="3">
        <v>16</v>
      </c>
    </row>
    <row r="21" spans="1:12" x14ac:dyDescent="0.25">
      <c r="A21" s="3">
        <v>20</v>
      </c>
      <c r="B21" s="1">
        <v>46128</v>
      </c>
      <c r="C21" s="9" t="s">
        <v>7</v>
      </c>
      <c r="D21" s="10" t="s">
        <v>27</v>
      </c>
      <c r="E21" s="4">
        <v>292.5</v>
      </c>
      <c r="F21" s="3">
        <v>64</v>
      </c>
      <c r="G21" s="4">
        <f t="shared" si="0"/>
        <v>18720</v>
      </c>
      <c r="H21" s="4">
        <v>2091.42</v>
      </c>
      <c r="I21" s="9" t="s">
        <v>16</v>
      </c>
      <c r="J21" s="9" t="s">
        <v>17</v>
      </c>
      <c r="K21" s="3" t="s">
        <v>33</v>
      </c>
      <c r="L21" s="3">
        <v>16</v>
      </c>
    </row>
    <row r="22" spans="1:12" x14ac:dyDescent="0.25">
      <c r="A22" s="3">
        <v>21</v>
      </c>
      <c r="B22" s="1">
        <v>46130</v>
      </c>
      <c r="C22" s="9" t="s">
        <v>14</v>
      </c>
      <c r="D22" s="10" t="s">
        <v>15</v>
      </c>
      <c r="E22" s="4">
        <v>345.7</v>
      </c>
      <c r="F22" s="3">
        <v>98</v>
      </c>
      <c r="G22" s="4">
        <f t="shared" si="0"/>
        <v>33878.6</v>
      </c>
      <c r="H22" s="4">
        <v>7700.14</v>
      </c>
      <c r="I22" s="9" t="s">
        <v>24</v>
      </c>
      <c r="J22" s="9" t="s">
        <v>22</v>
      </c>
      <c r="K22" s="3" t="s">
        <v>33</v>
      </c>
      <c r="L22" s="3">
        <v>16</v>
      </c>
    </row>
    <row r="23" spans="1:12" x14ac:dyDescent="0.25">
      <c r="A23" s="3">
        <v>22</v>
      </c>
      <c r="B23" s="1">
        <v>46132</v>
      </c>
      <c r="C23" s="9" t="s">
        <v>19</v>
      </c>
      <c r="D23" s="10" t="s">
        <v>63</v>
      </c>
      <c r="E23" s="4">
        <v>309.81</v>
      </c>
      <c r="F23" s="3">
        <v>80</v>
      </c>
      <c r="G23" s="4">
        <f t="shared" si="0"/>
        <v>24784.799999999999</v>
      </c>
      <c r="H23" s="4">
        <v>6238.83</v>
      </c>
      <c r="I23" s="9" t="s">
        <v>21</v>
      </c>
      <c r="J23" s="9" t="s">
        <v>22</v>
      </c>
      <c r="K23" s="3" t="s">
        <v>33</v>
      </c>
      <c r="L23" s="3">
        <v>17</v>
      </c>
    </row>
    <row r="24" spans="1:12" x14ac:dyDescent="0.25">
      <c r="A24" s="3">
        <v>23</v>
      </c>
      <c r="B24" s="1">
        <v>46134</v>
      </c>
      <c r="C24" s="9" t="s">
        <v>7</v>
      </c>
      <c r="D24" s="10" t="s">
        <v>52</v>
      </c>
      <c r="E24" s="4">
        <v>198.03</v>
      </c>
      <c r="F24" s="3">
        <v>88</v>
      </c>
      <c r="G24" s="4">
        <f t="shared" si="0"/>
        <v>17426.64</v>
      </c>
      <c r="H24" s="4">
        <v>2102.69</v>
      </c>
      <c r="I24" s="9" t="s">
        <v>8</v>
      </c>
      <c r="J24" s="9" t="s">
        <v>9</v>
      </c>
      <c r="K24" s="3" t="s">
        <v>33</v>
      </c>
      <c r="L24" s="3">
        <v>17</v>
      </c>
    </row>
    <row r="25" spans="1:12" x14ac:dyDescent="0.25">
      <c r="A25" s="3">
        <v>24</v>
      </c>
      <c r="B25" s="1">
        <v>46147</v>
      </c>
      <c r="C25" s="9" t="s">
        <v>11</v>
      </c>
      <c r="D25" s="10" t="s">
        <v>27</v>
      </c>
      <c r="E25" s="4">
        <v>398.97</v>
      </c>
      <c r="F25" s="3">
        <v>84</v>
      </c>
      <c r="G25" s="4">
        <f t="shared" si="0"/>
        <v>33513.480000000003</v>
      </c>
      <c r="H25" s="4">
        <v>8721.85</v>
      </c>
      <c r="I25" s="9" t="s">
        <v>13</v>
      </c>
      <c r="J25" s="9" t="s">
        <v>9</v>
      </c>
      <c r="K25" s="3" t="s">
        <v>35</v>
      </c>
      <c r="L25" s="3">
        <v>19</v>
      </c>
    </row>
    <row r="26" spans="1:12" x14ac:dyDescent="0.25">
      <c r="A26" s="3">
        <v>25</v>
      </c>
      <c r="B26" s="1">
        <v>46149</v>
      </c>
      <c r="C26" s="9" t="s">
        <v>14</v>
      </c>
      <c r="D26" s="10" t="s">
        <v>52</v>
      </c>
      <c r="E26" s="4">
        <v>79.510000000000005</v>
      </c>
      <c r="F26" s="3">
        <v>19</v>
      </c>
      <c r="G26" s="4">
        <f t="shared" si="0"/>
        <v>1510.69</v>
      </c>
      <c r="H26" s="4">
        <v>319.61</v>
      </c>
      <c r="I26" s="9" t="s">
        <v>16</v>
      </c>
      <c r="J26" s="9" t="s">
        <v>17</v>
      </c>
      <c r="K26" s="3" t="s">
        <v>35</v>
      </c>
      <c r="L26" s="3">
        <v>19</v>
      </c>
    </row>
    <row r="27" spans="1:12" x14ac:dyDescent="0.25">
      <c r="A27" s="3">
        <v>26</v>
      </c>
      <c r="B27" s="1">
        <v>46151</v>
      </c>
      <c r="C27" s="9" t="s">
        <v>19</v>
      </c>
      <c r="D27" s="10" t="s">
        <v>34</v>
      </c>
      <c r="E27" s="4">
        <v>110.28</v>
      </c>
      <c r="F27" s="3">
        <v>71</v>
      </c>
      <c r="G27" s="4">
        <f t="shared" si="0"/>
        <v>7829.88</v>
      </c>
      <c r="H27" s="4">
        <v>1101.8399999999999</v>
      </c>
      <c r="I27" s="9" t="s">
        <v>18</v>
      </c>
      <c r="J27" s="9" t="s">
        <v>17</v>
      </c>
      <c r="K27" s="3" t="s">
        <v>35</v>
      </c>
      <c r="L27" s="3">
        <v>19</v>
      </c>
    </row>
    <row r="28" spans="1:12" x14ac:dyDescent="0.25">
      <c r="A28" s="3">
        <v>27</v>
      </c>
      <c r="B28" s="1">
        <v>46153</v>
      </c>
      <c r="C28" s="9" t="s">
        <v>7</v>
      </c>
      <c r="D28" s="10" t="s">
        <v>26</v>
      </c>
      <c r="E28" s="4">
        <v>243.37</v>
      </c>
      <c r="F28" s="3">
        <v>26</v>
      </c>
      <c r="G28" s="4">
        <f t="shared" si="0"/>
        <v>6327.62</v>
      </c>
      <c r="H28" s="4">
        <v>667.86</v>
      </c>
      <c r="I28" s="9" t="s">
        <v>54</v>
      </c>
      <c r="J28" s="9" t="s">
        <v>17</v>
      </c>
      <c r="K28" s="3" t="s">
        <v>35</v>
      </c>
      <c r="L28" s="3">
        <v>20</v>
      </c>
    </row>
    <row r="29" spans="1:12" x14ac:dyDescent="0.25">
      <c r="A29" s="3">
        <v>28</v>
      </c>
      <c r="B29" s="1">
        <v>46155</v>
      </c>
      <c r="C29" s="9" t="s">
        <v>11</v>
      </c>
      <c r="D29" s="10" t="s">
        <v>68</v>
      </c>
      <c r="E29" s="4">
        <v>395.39</v>
      </c>
      <c r="F29" s="3">
        <v>84</v>
      </c>
      <c r="G29" s="4">
        <f t="shared" si="0"/>
        <v>33212.76</v>
      </c>
      <c r="H29" s="4">
        <v>9620.9599999999991</v>
      </c>
      <c r="I29" s="9" t="s">
        <v>24</v>
      </c>
      <c r="J29" s="9" t="s">
        <v>22</v>
      </c>
      <c r="K29" s="3" t="s">
        <v>35</v>
      </c>
      <c r="L29" s="3">
        <v>20</v>
      </c>
    </row>
    <row r="30" spans="1:12" x14ac:dyDescent="0.25">
      <c r="A30" s="3">
        <v>29</v>
      </c>
      <c r="B30" s="1">
        <v>46157</v>
      </c>
      <c r="C30" s="9" t="s">
        <v>14</v>
      </c>
      <c r="D30" s="10" t="s">
        <v>66</v>
      </c>
      <c r="E30" s="4">
        <v>366.38</v>
      </c>
      <c r="F30" s="3">
        <v>23</v>
      </c>
      <c r="G30" s="4">
        <f t="shared" si="0"/>
        <v>8426.74</v>
      </c>
      <c r="H30" s="4">
        <v>1293.47</v>
      </c>
      <c r="I30" s="9" t="s">
        <v>21</v>
      </c>
      <c r="J30" s="9" t="s">
        <v>22</v>
      </c>
      <c r="K30" s="3" t="s">
        <v>35</v>
      </c>
      <c r="L30" s="3">
        <v>20</v>
      </c>
    </row>
    <row r="31" spans="1:12" x14ac:dyDescent="0.25">
      <c r="A31" s="3">
        <v>30</v>
      </c>
      <c r="B31" s="1">
        <v>46159</v>
      </c>
      <c r="C31" s="9" t="s">
        <v>19</v>
      </c>
      <c r="D31" s="10" t="s">
        <v>52</v>
      </c>
      <c r="E31" s="4">
        <v>144.77000000000001</v>
      </c>
      <c r="F31" s="3">
        <v>7</v>
      </c>
      <c r="G31" s="4">
        <f t="shared" si="0"/>
        <v>1013.3900000000001</v>
      </c>
      <c r="H31" s="4">
        <v>181.81</v>
      </c>
      <c r="I31" s="9" t="s">
        <v>8</v>
      </c>
      <c r="J31" s="9" t="s">
        <v>9</v>
      </c>
      <c r="K31" s="3" t="s">
        <v>35</v>
      </c>
      <c r="L31" s="3">
        <v>20</v>
      </c>
    </row>
    <row r="32" spans="1:12" x14ac:dyDescent="0.25">
      <c r="A32" s="3">
        <v>31</v>
      </c>
      <c r="B32" s="1">
        <v>46161</v>
      </c>
      <c r="C32" s="9" t="s">
        <v>7</v>
      </c>
      <c r="D32" s="10" t="s">
        <v>27</v>
      </c>
      <c r="E32" s="4">
        <v>394.39</v>
      </c>
      <c r="F32" s="3">
        <v>25</v>
      </c>
      <c r="G32" s="4">
        <f t="shared" si="0"/>
        <v>9859.75</v>
      </c>
      <c r="H32" s="4">
        <v>2470.4499999999998</v>
      </c>
      <c r="I32" s="9" t="s">
        <v>13</v>
      </c>
      <c r="J32" s="9" t="s">
        <v>9</v>
      </c>
      <c r="K32" s="3" t="s">
        <v>35</v>
      </c>
      <c r="L32" s="3">
        <v>21</v>
      </c>
    </row>
    <row r="33" spans="1:12" x14ac:dyDescent="0.25">
      <c r="A33" s="3">
        <v>32</v>
      </c>
      <c r="B33" s="1">
        <v>46163</v>
      </c>
      <c r="C33" s="9" t="s">
        <v>11</v>
      </c>
      <c r="D33" s="10" t="s">
        <v>20</v>
      </c>
      <c r="E33" s="4">
        <v>16.510000000000002</v>
      </c>
      <c r="F33" s="3">
        <v>83</v>
      </c>
      <c r="G33" s="4">
        <f t="shared" si="0"/>
        <v>1370.3300000000002</v>
      </c>
      <c r="H33" s="4">
        <v>372.32</v>
      </c>
      <c r="I33" s="9" t="s">
        <v>16</v>
      </c>
      <c r="J33" s="9" t="s">
        <v>17</v>
      </c>
      <c r="K33" s="3" t="s">
        <v>35</v>
      </c>
      <c r="L33" s="3">
        <v>21</v>
      </c>
    </row>
    <row r="34" spans="1:12" x14ac:dyDescent="0.25">
      <c r="A34" s="3">
        <v>33</v>
      </c>
      <c r="B34" s="1">
        <v>46165</v>
      </c>
      <c r="C34" s="9" t="s">
        <v>14</v>
      </c>
      <c r="D34" s="10" t="s">
        <v>65</v>
      </c>
      <c r="E34" s="4">
        <v>245.98</v>
      </c>
      <c r="F34" s="3">
        <v>5</v>
      </c>
      <c r="G34" s="4">
        <f t="shared" si="0"/>
        <v>1229.8999999999999</v>
      </c>
      <c r="H34" s="4">
        <v>216.79</v>
      </c>
      <c r="I34" s="9" t="s">
        <v>18</v>
      </c>
      <c r="J34" s="9" t="s">
        <v>17</v>
      </c>
      <c r="K34" s="3" t="s">
        <v>35</v>
      </c>
      <c r="L34" s="3">
        <v>21</v>
      </c>
    </row>
    <row r="35" spans="1:12" x14ac:dyDescent="0.25">
      <c r="A35" s="3">
        <v>34</v>
      </c>
      <c r="B35" s="1">
        <v>46167</v>
      </c>
      <c r="C35" s="9" t="s">
        <v>19</v>
      </c>
      <c r="D35" s="10" t="s">
        <v>23</v>
      </c>
      <c r="E35" s="4">
        <v>8.59</v>
      </c>
      <c r="F35" s="3">
        <v>40</v>
      </c>
      <c r="G35" s="4">
        <f t="shared" si="0"/>
        <v>343.6</v>
      </c>
      <c r="H35" s="4">
        <v>38.68</v>
      </c>
      <c r="I35" s="9" t="s">
        <v>16</v>
      </c>
      <c r="J35" s="9" t="s">
        <v>17</v>
      </c>
      <c r="K35" s="3" t="s">
        <v>35</v>
      </c>
      <c r="L35" s="3">
        <v>22</v>
      </c>
    </row>
    <row r="36" spans="1:12" x14ac:dyDescent="0.25">
      <c r="A36" s="3">
        <v>35</v>
      </c>
      <c r="B36" s="1">
        <v>46169</v>
      </c>
      <c r="C36" s="9" t="s">
        <v>7</v>
      </c>
      <c r="D36" s="10" t="s">
        <v>12</v>
      </c>
      <c r="E36" s="4">
        <v>216.97</v>
      </c>
      <c r="F36" s="3">
        <v>41</v>
      </c>
      <c r="G36" s="4">
        <f t="shared" si="0"/>
        <v>8895.77</v>
      </c>
      <c r="H36" s="4">
        <v>988.29</v>
      </c>
      <c r="I36" s="9" t="s">
        <v>24</v>
      </c>
      <c r="J36" s="9" t="s">
        <v>22</v>
      </c>
      <c r="K36" s="3" t="s">
        <v>35</v>
      </c>
      <c r="L36" s="3">
        <v>22</v>
      </c>
    </row>
    <row r="37" spans="1:12" x14ac:dyDescent="0.25">
      <c r="A37" s="3">
        <v>36</v>
      </c>
      <c r="B37" s="1">
        <v>46171</v>
      </c>
      <c r="C37" s="9" t="s">
        <v>11</v>
      </c>
      <c r="D37" s="10" t="s">
        <v>28</v>
      </c>
      <c r="E37" s="4">
        <v>154.37</v>
      </c>
      <c r="F37" s="3">
        <v>42</v>
      </c>
      <c r="G37" s="4">
        <f t="shared" si="0"/>
        <v>6483.54</v>
      </c>
      <c r="H37" s="4">
        <v>1756.56</v>
      </c>
      <c r="I37" s="9" t="s">
        <v>21</v>
      </c>
      <c r="J37" s="9" t="s">
        <v>22</v>
      </c>
      <c r="K37" s="3" t="s">
        <v>35</v>
      </c>
      <c r="L37" s="3">
        <v>22</v>
      </c>
    </row>
    <row r="38" spans="1:12" x14ac:dyDescent="0.25">
      <c r="A38" s="3">
        <v>37</v>
      </c>
      <c r="B38" s="1">
        <v>46174</v>
      </c>
      <c r="C38" s="9" t="s">
        <v>14</v>
      </c>
      <c r="D38" s="10" t="s">
        <v>60</v>
      </c>
      <c r="E38" s="4">
        <v>133.82</v>
      </c>
      <c r="F38" s="3">
        <v>12</v>
      </c>
      <c r="G38" s="4">
        <f t="shared" si="0"/>
        <v>1605.84</v>
      </c>
      <c r="H38" s="4">
        <v>444.39</v>
      </c>
      <c r="I38" s="9" t="s">
        <v>8</v>
      </c>
      <c r="J38" s="9" t="s">
        <v>9</v>
      </c>
      <c r="K38" s="3" t="s">
        <v>41</v>
      </c>
      <c r="L38" s="3">
        <v>23</v>
      </c>
    </row>
    <row r="39" spans="1:12" x14ac:dyDescent="0.25">
      <c r="A39" s="3">
        <v>38</v>
      </c>
      <c r="B39" s="1">
        <v>46176</v>
      </c>
      <c r="C39" s="9" t="s">
        <v>19</v>
      </c>
      <c r="D39" s="10" t="s">
        <v>28</v>
      </c>
      <c r="E39" s="4">
        <v>62.17</v>
      </c>
      <c r="F39" s="3">
        <v>38</v>
      </c>
      <c r="G39" s="4">
        <f t="shared" si="0"/>
        <v>2362.46</v>
      </c>
      <c r="H39" s="4">
        <v>456</v>
      </c>
      <c r="I39" s="9" t="s">
        <v>13</v>
      </c>
      <c r="J39" s="9" t="s">
        <v>9</v>
      </c>
      <c r="K39" s="3" t="s">
        <v>41</v>
      </c>
      <c r="L39" s="3">
        <v>23</v>
      </c>
    </row>
    <row r="40" spans="1:12" x14ac:dyDescent="0.25">
      <c r="A40" s="3">
        <v>39</v>
      </c>
      <c r="B40" s="1">
        <v>46178</v>
      </c>
      <c r="C40" s="9" t="s">
        <v>7</v>
      </c>
      <c r="D40" s="10" t="s">
        <v>68</v>
      </c>
      <c r="E40" s="4">
        <v>489.76</v>
      </c>
      <c r="F40" s="3">
        <v>34</v>
      </c>
      <c r="G40" s="4">
        <f t="shared" si="0"/>
        <v>16651.84</v>
      </c>
      <c r="H40" s="4">
        <v>4086.81</v>
      </c>
      <c r="I40" s="9" t="s">
        <v>16</v>
      </c>
      <c r="J40" s="9" t="s">
        <v>17</v>
      </c>
      <c r="K40" s="3" t="s">
        <v>41</v>
      </c>
      <c r="L40" s="3">
        <v>23</v>
      </c>
    </row>
    <row r="41" spans="1:12" x14ac:dyDescent="0.25">
      <c r="A41" s="3">
        <v>40</v>
      </c>
      <c r="B41" s="1">
        <v>46180</v>
      </c>
      <c r="C41" s="9" t="s">
        <v>11</v>
      </c>
      <c r="D41" s="10" t="s">
        <v>27</v>
      </c>
      <c r="E41" s="4">
        <v>82.51</v>
      </c>
      <c r="F41" s="3">
        <v>70</v>
      </c>
      <c r="G41" s="4">
        <f t="shared" si="0"/>
        <v>5775.7000000000007</v>
      </c>
      <c r="H41" s="4">
        <v>819.48</v>
      </c>
      <c r="I41" s="9" t="s">
        <v>80</v>
      </c>
      <c r="J41" s="9" t="s">
        <v>9</v>
      </c>
      <c r="K41" s="3" t="s">
        <v>41</v>
      </c>
      <c r="L41" s="3">
        <v>23</v>
      </c>
    </row>
    <row r="42" spans="1:12" x14ac:dyDescent="0.25">
      <c r="A42" s="3">
        <v>41</v>
      </c>
      <c r="B42" s="1">
        <v>46182</v>
      </c>
      <c r="C42" s="9" t="s">
        <v>14</v>
      </c>
      <c r="D42" s="10" t="s">
        <v>28</v>
      </c>
      <c r="E42" s="4">
        <v>456.74</v>
      </c>
      <c r="F42" s="3">
        <v>22</v>
      </c>
      <c r="G42" s="4">
        <f t="shared" si="0"/>
        <v>10048.280000000001</v>
      </c>
      <c r="H42" s="4">
        <v>2509.0500000000002</v>
      </c>
      <c r="I42" s="9" t="s">
        <v>16</v>
      </c>
      <c r="J42" s="9" t="s">
        <v>17</v>
      </c>
      <c r="K42" s="3" t="s">
        <v>41</v>
      </c>
      <c r="L42" s="3">
        <v>24</v>
      </c>
    </row>
    <row r="43" spans="1:12" x14ac:dyDescent="0.25">
      <c r="A43" s="3">
        <v>42</v>
      </c>
      <c r="B43" s="1">
        <v>46183</v>
      </c>
      <c r="C43" s="9" t="s">
        <v>19</v>
      </c>
      <c r="D43" s="10" t="s">
        <v>23</v>
      </c>
      <c r="E43" s="4">
        <v>105.66</v>
      </c>
      <c r="F43" s="3">
        <v>83</v>
      </c>
      <c r="G43" s="4">
        <f t="shared" si="0"/>
        <v>8769.7799999999988</v>
      </c>
      <c r="H43" s="4">
        <v>1866.03</v>
      </c>
      <c r="I43" s="9" t="s">
        <v>24</v>
      </c>
      <c r="J43" s="9" t="s">
        <v>22</v>
      </c>
      <c r="K43" s="3" t="s">
        <v>41</v>
      </c>
      <c r="L43" s="3">
        <v>24</v>
      </c>
    </row>
    <row r="44" spans="1:12" x14ac:dyDescent="0.25">
      <c r="A44" s="3">
        <v>43</v>
      </c>
      <c r="B44" s="1">
        <v>46185</v>
      </c>
      <c r="C44" s="9" t="s">
        <v>7</v>
      </c>
      <c r="D44" s="10" t="s">
        <v>23</v>
      </c>
      <c r="E44" s="4">
        <v>297.55</v>
      </c>
      <c r="F44" s="3">
        <v>31</v>
      </c>
      <c r="G44" s="4">
        <f t="shared" si="0"/>
        <v>9224.0500000000011</v>
      </c>
      <c r="H44" s="4">
        <v>974.28</v>
      </c>
      <c r="I44" s="9" t="s">
        <v>21</v>
      </c>
      <c r="J44" s="9" t="s">
        <v>22</v>
      </c>
      <c r="K44" s="3" t="s">
        <v>41</v>
      </c>
      <c r="L44" s="3">
        <v>24</v>
      </c>
    </row>
    <row r="45" spans="1:12" x14ac:dyDescent="0.25">
      <c r="A45" s="3">
        <v>44</v>
      </c>
      <c r="B45" s="1">
        <v>46187</v>
      </c>
      <c r="C45" s="9" t="s">
        <v>11</v>
      </c>
      <c r="D45" s="10" t="s">
        <v>12</v>
      </c>
      <c r="E45" s="4">
        <v>9.6999999999999993</v>
      </c>
      <c r="F45" s="3">
        <v>93</v>
      </c>
      <c r="G45" s="4">
        <f t="shared" si="0"/>
        <v>902.09999999999991</v>
      </c>
      <c r="H45" s="4">
        <v>207.12</v>
      </c>
      <c r="I45" s="9" t="s">
        <v>8</v>
      </c>
      <c r="J45" s="9" t="s">
        <v>9</v>
      </c>
      <c r="K45" s="3" t="s">
        <v>41</v>
      </c>
      <c r="L45" s="3">
        <v>24</v>
      </c>
    </row>
    <row r="46" spans="1:12" x14ac:dyDescent="0.25">
      <c r="A46" s="3">
        <v>45</v>
      </c>
      <c r="B46" s="1">
        <v>46189</v>
      </c>
      <c r="C46" s="9" t="s">
        <v>14</v>
      </c>
      <c r="D46" s="10" t="s">
        <v>30</v>
      </c>
      <c r="E46" s="4">
        <v>217.66</v>
      </c>
      <c r="F46" s="3">
        <v>85</v>
      </c>
      <c r="G46" s="4">
        <f t="shared" si="0"/>
        <v>18501.099999999999</v>
      </c>
      <c r="H46" s="4">
        <v>5303.18</v>
      </c>
      <c r="I46" s="9" t="s">
        <v>13</v>
      </c>
      <c r="J46" s="9" t="s">
        <v>9</v>
      </c>
      <c r="K46" s="3" t="s">
        <v>41</v>
      </c>
      <c r="L46" s="3">
        <v>25</v>
      </c>
    </row>
    <row r="47" spans="1:12" x14ac:dyDescent="0.25">
      <c r="A47" s="3">
        <v>46</v>
      </c>
      <c r="B47" s="1">
        <v>46191</v>
      </c>
      <c r="C47" s="9" t="s">
        <v>19</v>
      </c>
      <c r="D47" s="10" t="s">
        <v>23</v>
      </c>
      <c r="E47" s="4">
        <v>424.73</v>
      </c>
      <c r="F47" s="3">
        <v>64</v>
      </c>
      <c r="G47" s="4">
        <f t="shared" si="0"/>
        <v>27182.720000000001</v>
      </c>
      <c r="H47" s="4">
        <v>4546.59</v>
      </c>
      <c r="I47" s="9" t="s">
        <v>77</v>
      </c>
      <c r="J47" s="9" t="s">
        <v>9</v>
      </c>
      <c r="K47" s="3" t="s">
        <v>41</v>
      </c>
      <c r="L47" s="3">
        <v>25</v>
      </c>
    </row>
    <row r="48" spans="1:12" x14ac:dyDescent="0.25">
      <c r="A48" s="3">
        <v>47</v>
      </c>
      <c r="B48" s="1">
        <v>46193</v>
      </c>
      <c r="C48" s="9" t="s">
        <v>7</v>
      </c>
      <c r="D48" s="10" t="s">
        <v>69</v>
      </c>
      <c r="E48" s="4">
        <v>250.93</v>
      </c>
      <c r="F48" s="3">
        <v>52</v>
      </c>
      <c r="G48" s="4">
        <f t="shared" si="0"/>
        <v>13048.36</v>
      </c>
      <c r="H48" s="4">
        <v>2802.37</v>
      </c>
      <c r="I48" s="9" t="s">
        <v>18</v>
      </c>
      <c r="J48" s="9" t="s">
        <v>17</v>
      </c>
      <c r="K48" s="3" t="s">
        <v>41</v>
      </c>
      <c r="L48" s="3">
        <v>25</v>
      </c>
    </row>
    <row r="49" spans="1:12" x14ac:dyDescent="0.25">
      <c r="A49" s="3">
        <v>48</v>
      </c>
      <c r="B49" s="1">
        <v>46195</v>
      </c>
      <c r="C49" s="9" t="s">
        <v>11</v>
      </c>
      <c r="D49" s="10" t="s">
        <v>68</v>
      </c>
      <c r="E49" s="4">
        <v>340.54</v>
      </c>
      <c r="F49" s="3">
        <v>60</v>
      </c>
      <c r="G49" s="4">
        <f t="shared" si="0"/>
        <v>20432.400000000001</v>
      </c>
      <c r="H49" s="4">
        <v>3880.07</v>
      </c>
      <c r="I49" s="9" t="s">
        <v>16</v>
      </c>
      <c r="J49" s="9" t="s">
        <v>17</v>
      </c>
      <c r="K49" s="3" t="s">
        <v>41</v>
      </c>
      <c r="L49" s="3">
        <v>26</v>
      </c>
    </row>
    <row r="50" spans="1:12" x14ac:dyDescent="0.25">
      <c r="A50" s="3">
        <v>49</v>
      </c>
      <c r="B50" s="1">
        <v>46197</v>
      </c>
      <c r="C50" s="9" t="s">
        <v>7</v>
      </c>
      <c r="D50" s="10" t="s">
        <v>68</v>
      </c>
      <c r="E50" s="4">
        <v>205.69</v>
      </c>
      <c r="F50" s="3">
        <v>23</v>
      </c>
      <c r="G50" s="4">
        <f t="shared" si="0"/>
        <v>4730.87</v>
      </c>
      <c r="H50" s="4">
        <v>770.78</v>
      </c>
      <c r="I50" s="9" t="s">
        <v>24</v>
      </c>
      <c r="J50" s="9" t="s">
        <v>22</v>
      </c>
      <c r="K50" s="3" t="s">
        <v>41</v>
      </c>
      <c r="L50" s="3">
        <v>26</v>
      </c>
    </row>
    <row r="51" spans="1:12" x14ac:dyDescent="0.25">
      <c r="A51" s="3">
        <v>50</v>
      </c>
      <c r="B51" s="1">
        <v>46199</v>
      </c>
      <c r="C51" s="9" t="s">
        <v>11</v>
      </c>
      <c r="D51" s="10" t="s">
        <v>52</v>
      </c>
      <c r="E51" s="4">
        <v>355.06</v>
      </c>
      <c r="F51" s="3">
        <v>60</v>
      </c>
      <c r="G51" s="4">
        <f t="shared" si="0"/>
        <v>21303.599999999999</v>
      </c>
      <c r="H51" s="4">
        <v>4040.29</v>
      </c>
      <c r="I51" s="9" t="s">
        <v>21</v>
      </c>
      <c r="J51" s="9" t="s">
        <v>22</v>
      </c>
      <c r="K51" s="3" t="s">
        <v>41</v>
      </c>
      <c r="L51" s="3">
        <v>26</v>
      </c>
    </row>
    <row r="52" spans="1:12" x14ac:dyDescent="0.25">
      <c r="A52" s="3">
        <v>51</v>
      </c>
      <c r="B52" s="1">
        <v>46204</v>
      </c>
      <c r="C52" s="9" t="s">
        <v>14</v>
      </c>
      <c r="D52" s="10" t="s">
        <v>15</v>
      </c>
      <c r="E52" s="4">
        <v>47.9</v>
      </c>
      <c r="F52" s="3">
        <v>3</v>
      </c>
      <c r="G52" s="4">
        <f t="shared" si="0"/>
        <v>143.69999999999999</v>
      </c>
      <c r="H52" s="4">
        <v>35.200000000000003</v>
      </c>
      <c r="I52" s="9" t="s">
        <v>77</v>
      </c>
      <c r="J52" s="9" t="s">
        <v>9</v>
      </c>
      <c r="K52" s="3" t="s">
        <v>51</v>
      </c>
      <c r="L52" s="3">
        <v>27</v>
      </c>
    </row>
    <row r="53" spans="1:12" x14ac:dyDescent="0.25">
      <c r="A53" s="3">
        <v>52</v>
      </c>
      <c r="B53" s="1">
        <v>46206</v>
      </c>
      <c r="C53" s="9" t="s">
        <v>7</v>
      </c>
      <c r="D53" s="10" t="s">
        <v>69</v>
      </c>
      <c r="E53" s="4">
        <v>154.86000000000001</v>
      </c>
      <c r="F53" s="3">
        <v>95</v>
      </c>
      <c r="G53" s="4">
        <f t="shared" si="0"/>
        <v>14711.7</v>
      </c>
      <c r="H53" s="4">
        <v>3263.14</v>
      </c>
      <c r="I53" s="9" t="s">
        <v>18</v>
      </c>
      <c r="J53" s="9" t="s">
        <v>17</v>
      </c>
      <c r="K53" s="3" t="s">
        <v>51</v>
      </c>
      <c r="L53" s="3">
        <v>27</v>
      </c>
    </row>
    <row r="54" spans="1:12" x14ac:dyDescent="0.25">
      <c r="A54" s="3">
        <v>53</v>
      </c>
      <c r="B54" s="1">
        <v>46208</v>
      </c>
      <c r="C54" s="9" t="s">
        <v>11</v>
      </c>
      <c r="D54" s="10" t="s">
        <v>64</v>
      </c>
      <c r="E54" s="4">
        <v>124.48</v>
      </c>
      <c r="F54" s="3">
        <v>100</v>
      </c>
      <c r="G54" s="4">
        <f t="shared" si="0"/>
        <v>12448</v>
      </c>
      <c r="H54" s="4">
        <v>1583.47</v>
      </c>
      <c r="I54" s="9" t="s">
        <v>18</v>
      </c>
      <c r="J54" s="9" t="s">
        <v>17</v>
      </c>
      <c r="K54" s="3" t="s">
        <v>51</v>
      </c>
      <c r="L54" s="3">
        <v>27</v>
      </c>
    </row>
    <row r="55" spans="1:12" x14ac:dyDescent="0.25">
      <c r="A55" s="3">
        <v>54</v>
      </c>
      <c r="B55" s="1">
        <v>46210</v>
      </c>
      <c r="C55" s="9" t="s">
        <v>14</v>
      </c>
      <c r="D55" s="10" t="s">
        <v>15</v>
      </c>
      <c r="E55" s="4">
        <v>455.65</v>
      </c>
      <c r="F55" s="3">
        <v>7</v>
      </c>
      <c r="G55" s="4">
        <f t="shared" si="0"/>
        <v>3189.5499999999997</v>
      </c>
      <c r="H55" s="4">
        <v>733.81</v>
      </c>
      <c r="I55" s="9" t="s">
        <v>80</v>
      </c>
      <c r="J55" s="9" t="s">
        <v>9</v>
      </c>
      <c r="K55" s="3" t="s">
        <v>51</v>
      </c>
      <c r="L55" s="3">
        <v>28</v>
      </c>
    </row>
    <row r="56" spans="1:12" x14ac:dyDescent="0.25">
      <c r="A56" s="3">
        <v>55</v>
      </c>
      <c r="B56" s="1">
        <v>46212</v>
      </c>
      <c r="C56" s="9" t="s">
        <v>19</v>
      </c>
      <c r="D56" s="10" t="s">
        <v>27</v>
      </c>
      <c r="E56" s="4">
        <v>116.49</v>
      </c>
      <c r="F56" s="3">
        <v>74</v>
      </c>
      <c r="G56" s="4">
        <f t="shared" si="0"/>
        <v>8620.26</v>
      </c>
      <c r="H56" s="4">
        <v>2218.9499999999998</v>
      </c>
      <c r="I56" s="9" t="s">
        <v>18</v>
      </c>
      <c r="J56" s="9" t="s">
        <v>17</v>
      </c>
      <c r="K56" s="3" t="s">
        <v>51</v>
      </c>
      <c r="L56" s="3">
        <v>28</v>
      </c>
    </row>
    <row r="57" spans="1:12" x14ac:dyDescent="0.25">
      <c r="A57" s="3">
        <v>56</v>
      </c>
      <c r="B57" s="1">
        <v>46214</v>
      </c>
      <c r="C57" s="9" t="s">
        <v>7</v>
      </c>
      <c r="D57" s="10" t="s">
        <v>63</v>
      </c>
      <c r="E57" s="4">
        <v>388.59</v>
      </c>
      <c r="F57" s="3">
        <v>27</v>
      </c>
      <c r="G57" s="4">
        <f t="shared" si="0"/>
        <v>10491.929999999998</v>
      </c>
      <c r="H57" s="4">
        <v>2943.5</v>
      </c>
      <c r="I57" s="9" t="s">
        <v>16</v>
      </c>
      <c r="J57" s="9" t="s">
        <v>17</v>
      </c>
      <c r="K57" s="3" t="s">
        <v>51</v>
      </c>
      <c r="L57" s="3">
        <v>28</v>
      </c>
    </row>
    <row r="58" spans="1:12" x14ac:dyDescent="0.25">
      <c r="A58" s="3">
        <v>57</v>
      </c>
      <c r="B58" s="1">
        <v>46216</v>
      </c>
      <c r="C58" s="9" t="s">
        <v>11</v>
      </c>
      <c r="D58" s="10" t="s">
        <v>27</v>
      </c>
      <c r="E58" s="4">
        <v>118.31</v>
      </c>
      <c r="F58" s="3">
        <v>53</v>
      </c>
      <c r="G58" s="4">
        <f t="shared" si="0"/>
        <v>6270.43</v>
      </c>
      <c r="H58" s="4">
        <v>1695.73</v>
      </c>
      <c r="I58" s="9" t="s">
        <v>84</v>
      </c>
      <c r="J58" s="9" t="s">
        <v>17</v>
      </c>
      <c r="K58" s="3" t="s">
        <v>51</v>
      </c>
      <c r="L58" s="3">
        <v>29</v>
      </c>
    </row>
    <row r="59" spans="1:12" x14ac:dyDescent="0.25">
      <c r="A59" s="3">
        <v>58</v>
      </c>
      <c r="B59" s="1">
        <v>46218</v>
      </c>
      <c r="C59" s="9" t="s">
        <v>14</v>
      </c>
      <c r="D59" s="10" t="s">
        <v>26</v>
      </c>
      <c r="E59" s="4">
        <v>435.09</v>
      </c>
      <c r="F59" s="3">
        <v>80</v>
      </c>
      <c r="G59" s="4">
        <f t="shared" si="0"/>
        <v>34807.199999999997</v>
      </c>
      <c r="H59" s="4">
        <v>8272.34</v>
      </c>
      <c r="I59" s="9" t="s">
        <v>18</v>
      </c>
      <c r="J59" s="9" t="s">
        <v>17</v>
      </c>
      <c r="K59" s="3" t="s">
        <v>51</v>
      </c>
      <c r="L59" s="3">
        <v>29</v>
      </c>
    </row>
    <row r="60" spans="1:12" x14ac:dyDescent="0.25">
      <c r="A60" s="3">
        <v>59</v>
      </c>
      <c r="B60" s="1">
        <v>46220</v>
      </c>
      <c r="C60" s="9" t="s">
        <v>19</v>
      </c>
      <c r="D60" s="10" t="s">
        <v>60</v>
      </c>
      <c r="E60" s="4">
        <v>211.04</v>
      </c>
      <c r="F60" s="3">
        <v>30</v>
      </c>
      <c r="G60" s="4">
        <f t="shared" si="0"/>
        <v>6331.2</v>
      </c>
      <c r="H60" s="4">
        <v>1001.46</v>
      </c>
      <c r="I60" s="9" t="s">
        <v>18</v>
      </c>
      <c r="J60" s="9" t="s">
        <v>17</v>
      </c>
      <c r="K60" s="3" t="s">
        <v>51</v>
      </c>
      <c r="L60" s="3">
        <v>29</v>
      </c>
    </row>
    <row r="61" spans="1:12" x14ac:dyDescent="0.25">
      <c r="A61" s="3">
        <v>60</v>
      </c>
      <c r="B61" s="1">
        <v>46222</v>
      </c>
      <c r="C61" s="9" t="s">
        <v>7</v>
      </c>
      <c r="D61" s="10" t="s">
        <v>12</v>
      </c>
      <c r="E61" s="4">
        <v>444.11</v>
      </c>
      <c r="F61" s="3">
        <v>54</v>
      </c>
      <c r="G61" s="4">
        <f t="shared" si="0"/>
        <v>23981.940000000002</v>
      </c>
      <c r="H61" s="4">
        <v>3183.02</v>
      </c>
      <c r="I61" s="9" t="s">
        <v>78</v>
      </c>
      <c r="J61" s="9" t="s">
        <v>9</v>
      </c>
      <c r="K61" s="3" t="s">
        <v>51</v>
      </c>
      <c r="L61" s="3">
        <v>29</v>
      </c>
    </row>
    <row r="62" spans="1:12" x14ac:dyDescent="0.25">
      <c r="A62" s="3">
        <v>61</v>
      </c>
      <c r="B62" s="1">
        <v>46224</v>
      </c>
      <c r="C62" s="9" t="s">
        <v>14</v>
      </c>
      <c r="D62" s="10" t="s">
        <v>52</v>
      </c>
      <c r="E62" s="4">
        <v>330.91</v>
      </c>
      <c r="F62" s="3">
        <v>24</v>
      </c>
      <c r="G62" s="4">
        <f t="shared" si="0"/>
        <v>7941.84</v>
      </c>
      <c r="H62" s="4">
        <v>1299.6400000000001</v>
      </c>
      <c r="I62" s="9" t="s">
        <v>18</v>
      </c>
      <c r="J62" s="9" t="s">
        <v>17</v>
      </c>
      <c r="K62" s="3" t="s">
        <v>51</v>
      </c>
      <c r="L62" s="3">
        <v>30</v>
      </c>
    </row>
    <row r="63" spans="1:12" x14ac:dyDescent="0.25">
      <c r="A63" s="3">
        <v>62</v>
      </c>
      <c r="B63" s="1">
        <v>46226</v>
      </c>
      <c r="C63" s="9" t="s">
        <v>19</v>
      </c>
      <c r="D63" s="10" t="s">
        <v>26</v>
      </c>
      <c r="E63" s="4">
        <v>461.53</v>
      </c>
      <c r="F63" s="3">
        <v>46</v>
      </c>
      <c r="G63" s="4">
        <f t="shared" si="0"/>
        <v>21230.379999999997</v>
      </c>
      <c r="H63" s="4">
        <v>2577.8000000000002</v>
      </c>
      <c r="I63" s="9" t="s">
        <v>82</v>
      </c>
      <c r="J63" s="9" t="s">
        <v>81</v>
      </c>
      <c r="K63" s="3" t="s">
        <v>51</v>
      </c>
      <c r="L63" s="3">
        <v>30</v>
      </c>
    </row>
    <row r="64" spans="1:12" x14ac:dyDescent="0.25">
      <c r="A64" s="3">
        <v>63</v>
      </c>
      <c r="B64" s="1">
        <v>46228</v>
      </c>
      <c r="C64" s="9" t="s">
        <v>7</v>
      </c>
      <c r="D64" s="10" t="s">
        <v>15</v>
      </c>
      <c r="E64" s="4">
        <v>202.13</v>
      </c>
      <c r="F64" s="3">
        <v>53</v>
      </c>
      <c r="G64" s="4">
        <f t="shared" si="0"/>
        <v>10712.89</v>
      </c>
      <c r="H64" s="4">
        <v>2000.92</v>
      </c>
      <c r="I64" s="9" t="s">
        <v>83</v>
      </c>
      <c r="J64" s="9" t="s">
        <v>81</v>
      </c>
      <c r="K64" s="3" t="s">
        <v>51</v>
      </c>
      <c r="L64" s="3">
        <v>30</v>
      </c>
    </row>
    <row r="65" spans="1:12" x14ac:dyDescent="0.25">
      <c r="A65" s="3">
        <v>64</v>
      </c>
      <c r="B65" s="1">
        <v>46230</v>
      </c>
      <c r="C65" s="9" t="s">
        <v>11</v>
      </c>
      <c r="D65" s="10" t="s">
        <v>62</v>
      </c>
      <c r="E65" s="4">
        <v>149.88999999999999</v>
      </c>
      <c r="F65" s="3">
        <v>71</v>
      </c>
      <c r="G65" s="4">
        <f t="shared" si="0"/>
        <v>10642.189999999999</v>
      </c>
      <c r="H65" s="4">
        <v>2316.2399999999998</v>
      </c>
      <c r="I65" s="9" t="s">
        <v>18</v>
      </c>
      <c r="J65" s="9" t="s">
        <v>17</v>
      </c>
      <c r="K65" s="3" t="s">
        <v>51</v>
      </c>
      <c r="L65" s="3">
        <v>31</v>
      </c>
    </row>
    <row r="66" spans="1:12" x14ac:dyDescent="0.25">
      <c r="A66" s="3">
        <v>65</v>
      </c>
      <c r="B66" s="1">
        <v>46232</v>
      </c>
      <c r="C66" s="9" t="s">
        <v>14</v>
      </c>
      <c r="D66" s="10" t="s">
        <v>12</v>
      </c>
      <c r="E66" s="4">
        <v>329.52</v>
      </c>
      <c r="F66" s="3">
        <v>37</v>
      </c>
      <c r="G66" s="4">
        <f t="shared" si="0"/>
        <v>12192.24</v>
      </c>
      <c r="H66" s="4">
        <v>3391.73</v>
      </c>
      <c r="I66" s="9" t="s">
        <v>18</v>
      </c>
      <c r="J66" s="9" t="s">
        <v>17</v>
      </c>
      <c r="K66" s="3" t="s">
        <v>51</v>
      </c>
      <c r="L66" s="3">
        <v>31</v>
      </c>
    </row>
    <row r="67" spans="1:12" x14ac:dyDescent="0.25">
      <c r="A67" s="3">
        <v>66</v>
      </c>
      <c r="B67" s="1">
        <v>46234</v>
      </c>
      <c r="C67" s="9" t="s">
        <v>40</v>
      </c>
      <c r="D67" s="10" t="s">
        <v>68</v>
      </c>
      <c r="E67" s="4">
        <v>151.63999999999999</v>
      </c>
      <c r="F67" s="3">
        <v>34</v>
      </c>
      <c r="G67" s="4">
        <f t="shared" ref="G67:G101" si="1">E67*F67</f>
        <v>5155.7599999999993</v>
      </c>
      <c r="H67" s="4">
        <v>519.52</v>
      </c>
      <c r="I67" s="9" t="s">
        <v>75</v>
      </c>
      <c r="J67" s="9" t="s">
        <v>9</v>
      </c>
      <c r="K67" s="3" t="s">
        <v>51</v>
      </c>
      <c r="L67" s="3">
        <v>31</v>
      </c>
    </row>
    <row r="68" spans="1:12" x14ac:dyDescent="0.25">
      <c r="A68" s="3">
        <v>67</v>
      </c>
      <c r="B68" s="1">
        <v>46235</v>
      </c>
      <c r="C68" s="9" t="s">
        <v>42</v>
      </c>
      <c r="D68" s="10" t="s">
        <v>69</v>
      </c>
      <c r="E68" s="4">
        <v>490</v>
      </c>
      <c r="F68" s="3">
        <v>95</v>
      </c>
      <c r="G68" s="4">
        <f t="shared" si="1"/>
        <v>46550</v>
      </c>
      <c r="H68" s="4">
        <v>6676.33</v>
      </c>
      <c r="I68" s="9" t="s">
        <v>75</v>
      </c>
      <c r="J68" s="9" t="s">
        <v>9</v>
      </c>
      <c r="K68" s="3" t="s">
        <v>53</v>
      </c>
      <c r="L68" s="3">
        <v>31</v>
      </c>
    </row>
    <row r="69" spans="1:12" x14ac:dyDescent="0.25">
      <c r="A69" s="3">
        <v>68</v>
      </c>
      <c r="B69" s="1">
        <v>46237</v>
      </c>
      <c r="C69" s="9" t="s">
        <v>43</v>
      </c>
      <c r="D69" s="10" t="s">
        <v>68</v>
      </c>
      <c r="E69" s="4">
        <v>257.55</v>
      </c>
      <c r="F69" s="3">
        <v>38</v>
      </c>
      <c r="G69" s="4">
        <f t="shared" si="1"/>
        <v>9786.9</v>
      </c>
      <c r="H69" s="4">
        <v>1541.49</v>
      </c>
      <c r="I69" s="9" t="s">
        <v>16</v>
      </c>
      <c r="J69" s="9" t="s">
        <v>17</v>
      </c>
      <c r="K69" s="3" t="s">
        <v>53</v>
      </c>
      <c r="L69" s="3">
        <v>32</v>
      </c>
    </row>
    <row r="70" spans="1:12" x14ac:dyDescent="0.25">
      <c r="A70" s="3">
        <v>69</v>
      </c>
      <c r="B70" s="1">
        <v>46239</v>
      </c>
      <c r="C70" s="9" t="s">
        <v>44</v>
      </c>
      <c r="D70" s="10" t="s">
        <v>65</v>
      </c>
      <c r="E70" s="4">
        <v>442.86</v>
      </c>
      <c r="F70" s="3">
        <v>65</v>
      </c>
      <c r="G70" s="4">
        <f t="shared" si="1"/>
        <v>28785.9</v>
      </c>
      <c r="H70" s="4">
        <v>5660.28</v>
      </c>
      <c r="I70" s="9" t="s">
        <v>18</v>
      </c>
      <c r="J70" s="9" t="s">
        <v>17</v>
      </c>
      <c r="K70" s="3" t="s">
        <v>53</v>
      </c>
      <c r="L70" s="3">
        <v>32</v>
      </c>
    </row>
    <row r="71" spans="1:12" x14ac:dyDescent="0.25">
      <c r="A71" s="3">
        <v>70</v>
      </c>
      <c r="B71" s="1">
        <v>46241</v>
      </c>
      <c r="C71" s="9" t="s">
        <v>45</v>
      </c>
      <c r="D71" s="10" t="s">
        <v>64</v>
      </c>
      <c r="E71" s="4">
        <v>459.77</v>
      </c>
      <c r="F71" s="3">
        <v>64</v>
      </c>
      <c r="G71" s="4">
        <f t="shared" si="1"/>
        <v>29425.279999999999</v>
      </c>
      <c r="H71" s="4">
        <v>8347.85</v>
      </c>
      <c r="I71" s="9" t="s">
        <v>16</v>
      </c>
      <c r="J71" s="9" t="s">
        <v>17</v>
      </c>
      <c r="K71" s="3" t="s">
        <v>53</v>
      </c>
      <c r="L71" s="3">
        <v>32</v>
      </c>
    </row>
    <row r="72" spans="1:12" x14ac:dyDescent="0.25">
      <c r="A72" s="3">
        <v>71</v>
      </c>
      <c r="B72" s="1">
        <v>46266</v>
      </c>
      <c r="C72" s="9" t="s">
        <v>46</v>
      </c>
      <c r="D72" s="10" t="s">
        <v>63</v>
      </c>
      <c r="E72" s="4">
        <v>219.86</v>
      </c>
      <c r="F72" s="3">
        <v>69</v>
      </c>
      <c r="G72" s="4">
        <f t="shared" si="1"/>
        <v>15170.34</v>
      </c>
      <c r="H72" s="4">
        <v>3820.08</v>
      </c>
      <c r="I72" s="9" t="s">
        <v>18</v>
      </c>
      <c r="J72" s="9" t="s">
        <v>17</v>
      </c>
      <c r="K72" s="3" t="s">
        <v>70</v>
      </c>
      <c r="L72" s="3">
        <v>36</v>
      </c>
    </row>
    <row r="73" spans="1:12" x14ac:dyDescent="0.25">
      <c r="A73" s="3">
        <v>72</v>
      </c>
      <c r="B73" s="1">
        <v>46270</v>
      </c>
      <c r="C73" s="9" t="s">
        <v>47</v>
      </c>
      <c r="D73" s="10" t="s">
        <v>26</v>
      </c>
      <c r="E73" s="4">
        <v>308.70999999999998</v>
      </c>
      <c r="F73" s="3">
        <v>10</v>
      </c>
      <c r="G73" s="4">
        <f t="shared" si="1"/>
        <v>3087.1</v>
      </c>
      <c r="H73" s="4">
        <v>655.75</v>
      </c>
      <c r="I73" s="9" t="s">
        <v>16</v>
      </c>
      <c r="J73" s="9" t="s">
        <v>17</v>
      </c>
      <c r="K73" s="3" t="s">
        <v>70</v>
      </c>
      <c r="L73" s="3">
        <v>36</v>
      </c>
    </row>
    <row r="74" spans="1:12" x14ac:dyDescent="0.25">
      <c r="A74" s="3">
        <v>73</v>
      </c>
      <c r="B74" s="1">
        <v>46282</v>
      </c>
      <c r="C74" s="9" t="s">
        <v>37</v>
      </c>
      <c r="D74" s="10" t="s">
        <v>34</v>
      </c>
      <c r="E74" s="4">
        <v>257.07</v>
      </c>
      <c r="F74" s="3">
        <v>32</v>
      </c>
      <c r="G74" s="4">
        <f t="shared" si="1"/>
        <v>8226.24</v>
      </c>
      <c r="H74" s="4">
        <v>2180.14</v>
      </c>
      <c r="I74" s="9" t="s">
        <v>16</v>
      </c>
      <c r="J74" s="9" t="s">
        <v>17</v>
      </c>
      <c r="K74" s="3" t="s">
        <v>70</v>
      </c>
      <c r="L74" s="3">
        <v>38</v>
      </c>
    </row>
    <row r="75" spans="1:12" x14ac:dyDescent="0.25">
      <c r="A75" s="3">
        <v>74</v>
      </c>
      <c r="B75" s="1">
        <v>46284</v>
      </c>
      <c r="C75" s="9" t="s">
        <v>48</v>
      </c>
      <c r="D75" s="10" t="s">
        <v>52</v>
      </c>
      <c r="E75" s="4">
        <v>215.32</v>
      </c>
      <c r="F75" s="3">
        <v>87</v>
      </c>
      <c r="G75" s="4">
        <f t="shared" si="1"/>
        <v>18732.84</v>
      </c>
      <c r="H75" s="4">
        <v>4877.93</v>
      </c>
      <c r="I75" s="9" t="s">
        <v>84</v>
      </c>
      <c r="J75" s="9" t="s">
        <v>17</v>
      </c>
      <c r="K75" s="3" t="s">
        <v>70</v>
      </c>
      <c r="L75" s="3">
        <v>38</v>
      </c>
    </row>
    <row r="76" spans="1:12" x14ac:dyDescent="0.25">
      <c r="A76" s="3">
        <v>75</v>
      </c>
      <c r="B76" s="1">
        <v>46285</v>
      </c>
      <c r="C76" s="9" t="s">
        <v>38</v>
      </c>
      <c r="D76" s="10" t="s">
        <v>27</v>
      </c>
      <c r="E76" s="4">
        <v>398.01</v>
      </c>
      <c r="F76" s="3">
        <v>48</v>
      </c>
      <c r="G76" s="4">
        <f t="shared" si="1"/>
        <v>19104.48</v>
      </c>
      <c r="H76" s="4">
        <v>5575.04</v>
      </c>
      <c r="I76" s="9" t="s">
        <v>18</v>
      </c>
      <c r="J76" s="9" t="s">
        <v>17</v>
      </c>
      <c r="K76" s="3" t="s">
        <v>70</v>
      </c>
      <c r="L76" s="3">
        <v>38</v>
      </c>
    </row>
    <row r="77" spans="1:12" x14ac:dyDescent="0.25">
      <c r="A77" s="3">
        <v>76</v>
      </c>
      <c r="B77" s="1">
        <v>46285</v>
      </c>
      <c r="C77" s="9" t="s">
        <v>49</v>
      </c>
      <c r="D77" s="10" t="s">
        <v>63</v>
      </c>
      <c r="E77" s="4">
        <v>81.41</v>
      </c>
      <c r="F77" s="3">
        <v>48</v>
      </c>
      <c r="G77" s="4">
        <f t="shared" si="1"/>
        <v>3907.68</v>
      </c>
      <c r="H77" s="4">
        <v>405.65</v>
      </c>
      <c r="I77" s="9" t="s">
        <v>78</v>
      </c>
      <c r="J77" s="9" t="s">
        <v>9</v>
      </c>
      <c r="K77" s="3" t="s">
        <v>70</v>
      </c>
      <c r="L77" s="3">
        <v>38</v>
      </c>
    </row>
    <row r="78" spans="1:12" x14ac:dyDescent="0.25">
      <c r="A78" s="3">
        <v>77</v>
      </c>
      <c r="B78" s="1">
        <v>46290</v>
      </c>
      <c r="C78" s="9" t="s">
        <v>50</v>
      </c>
      <c r="D78" s="10" t="s">
        <v>15</v>
      </c>
      <c r="E78" s="4">
        <v>474.08</v>
      </c>
      <c r="F78" s="3">
        <v>43</v>
      </c>
      <c r="G78" s="4">
        <f t="shared" si="1"/>
        <v>20385.439999999999</v>
      </c>
      <c r="H78" s="4">
        <v>4951.41</v>
      </c>
      <c r="I78" s="9" t="s">
        <v>78</v>
      </c>
      <c r="J78" s="9" t="s">
        <v>9</v>
      </c>
      <c r="K78" s="3" t="s">
        <v>70</v>
      </c>
      <c r="L78" s="3">
        <v>39</v>
      </c>
    </row>
    <row r="79" spans="1:12" x14ac:dyDescent="0.25">
      <c r="A79" s="3">
        <v>78</v>
      </c>
      <c r="B79" s="1">
        <v>46290</v>
      </c>
      <c r="C79" s="9" t="s">
        <v>43</v>
      </c>
      <c r="D79" s="10" t="s">
        <v>67</v>
      </c>
      <c r="E79" s="4">
        <v>141.16</v>
      </c>
      <c r="F79" s="3">
        <v>8</v>
      </c>
      <c r="G79" s="4">
        <f>E79*F79</f>
        <v>1129.28</v>
      </c>
      <c r="H79" s="4">
        <v>315.36</v>
      </c>
      <c r="I79" s="9" t="s">
        <v>18</v>
      </c>
      <c r="J79" s="9" t="s">
        <v>17</v>
      </c>
      <c r="K79" s="3" t="s">
        <v>70</v>
      </c>
      <c r="L79" s="3">
        <v>39</v>
      </c>
    </row>
    <row r="80" spans="1:12" x14ac:dyDescent="0.25">
      <c r="A80" s="3">
        <v>79</v>
      </c>
      <c r="B80" s="1">
        <v>46291</v>
      </c>
      <c r="C80" s="9" t="s">
        <v>39</v>
      </c>
      <c r="D80" s="10" t="s">
        <v>61</v>
      </c>
      <c r="E80" s="4">
        <v>484.42</v>
      </c>
      <c r="F80" s="3">
        <v>36</v>
      </c>
      <c r="G80" s="4">
        <f t="shared" si="1"/>
        <v>17439.12</v>
      </c>
      <c r="H80" s="4">
        <v>4893.78</v>
      </c>
      <c r="I80" s="9" t="s">
        <v>18</v>
      </c>
      <c r="J80" s="9" t="s">
        <v>17</v>
      </c>
      <c r="K80" s="3" t="s">
        <v>70</v>
      </c>
      <c r="L80" s="3">
        <v>39</v>
      </c>
    </row>
    <row r="81" spans="1:12" x14ac:dyDescent="0.25">
      <c r="A81" s="3">
        <v>80</v>
      </c>
      <c r="B81" s="1">
        <v>46292</v>
      </c>
      <c r="C81" s="9" t="s">
        <v>42</v>
      </c>
      <c r="D81" s="10" t="s">
        <v>67</v>
      </c>
      <c r="E81" s="4">
        <v>484.53</v>
      </c>
      <c r="F81" s="3">
        <v>94</v>
      </c>
      <c r="G81" s="4">
        <f t="shared" si="1"/>
        <v>45545.82</v>
      </c>
      <c r="H81" s="4">
        <v>11476.85</v>
      </c>
      <c r="I81" s="9" t="s">
        <v>82</v>
      </c>
      <c r="J81" s="9" t="s">
        <v>81</v>
      </c>
      <c r="K81" s="3" t="s">
        <v>70</v>
      </c>
      <c r="L81" s="3">
        <v>39</v>
      </c>
    </row>
    <row r="82" spans="1:12" x14ac:dyDescent="0.25">
      <c r="A82" s="3">
        <v>81</v>
      </c>
      <c r="B82" s="1">
        <v>46294</v>
      </c>
      <c r="C82" s="9" t="s">
        <v>44</v>
      </c>
      <c r="D82" s="10" t="s">
        <v>67</v>
      </c>
      <c r="E82" s="4">
        <v>389.92</v>
      </c>
      <c r="F82" s="3">
        <v>41</v>
      </c>
      <c r="G82" s="4">
        <f t="shared" si="1"/>
        <v>15986.720000000001</v>
      </c>
      <c r="H82" s="4">
        <v>3120.26</v>
      </c>
      <c r="I82" s="9" t="s">
        <v>83</v>
      </c>
      <c r="J82" s="9" t="s">
        <v>81</v>
      </c>
      <c r="K82" s="3" t="s">
        <v>70</v>
      </c>
      <c r="L82" s="3">
        <v>40</v>
      </c>
    </row>
    <row r="83" spans="1:12" x14ac:dyDescent="0.25">
      <c r="A83" s="3">
        <v>82</v>
      </c>
      <c r="B83" s="1">
        <v>46305</v>
      </c>
      <c r="C83" s="9" t="s">
        <v>36</v>
      </c>
      <c r="D83" s="10" t="s">
        <v>28</v>
      </c>
      <c r="E83" s="4">
        <v>329.58</v>
      </c>
      <c r="F83" s="3">
        <v>94</v>
      </c>
      <c r="G83" s="4">
        <f t="shared" si="1"/>
        <v>30980.519999999997</v>
      </c>
      <c r="H83" s="4">
        <v>8740.64</v>
      </c>
      <c r="I83" s="9" t="s">
        <v>18</v>
      </c>
      <c r="J83" s="9" t="s">
        <v>17</v>
      </c>
      <c r="K83" s="3" t="s">
        <v>71</v>
      </c>
      <c r="L83" s="3">
        <v>41</v>
      </c>
    </row>
    <row r="84" spans="1:12" x14ac:dyDescent="0.25">
      <c r="A84" s="3">
        <v>83</v>
      </c>
      <c r="B84" s="1">
        <v>46309</v>
      </c>
      <c r="C84" s="9" t="s">
        <v>11</v>
      </c>
      <c r="D84" s="10" t="s">
        <v>28</v>
      </c>
      <c r="E84" s="4">
        <v>467.19</v>
      </c>
      <c r="F84" s="3">
        <v>73</v>
      </c>
      <c r="G84" s="4">
        <f t="shared" si="1"/>
        <v>34104.870000000003</v>
      </c>
      <c r="H84" s="4">
        <v>5347</v>
      </c>
      <c r="I84" s="9" t="s">
        <v>76</v>
      </c>
      <c r="J84" s="9" t="s">
        <v>9</v>
      </c>
      <c r="K84" s="3" t="s">
        <v>71</v>
      </c>
      <c r="L84" s="3">
        <v>42</v>
      </c>
    </row>
    <row r="85" spans="1:12" x14ac:dyDescent="0.25">
      <c r="A85" s="3">
        <v>84</v>
      </c>
      <c r="B85" s="1">
        <v>46315</v>
      </c>
      <c r="C85" s="9" t="s">
        <v>14</v>
      </c>
      <c r="D85" s="10" t="s">
        <v>60</v>
      </c>
      <c r="E85" s="4">
        <v>365.96</v>
      </c>
      <c r="F85" s="3">
        <v>90</v>
      </c>
      <c r="G85" s="4">
        <f t="shared" si="1"/>
        <v>32936.400000000001</v>
      </c>
      <c r="H85" s="4">
        <v>6814.21</v>
      </c>
      <c r="I85" s="9" t="s">
        <v>18</v>
      </c>
      <c r="J85" s="9" t="s">
        <v>17</v>
      </c>
      <c r="K85" s="3" t="s">
        <v>71</v>
      </c>
      <c r="L85" s="3">
        <v>43</v>
      </c>
    </row>
    <row r="86" spans="1:12" x14ac:dyDescent="0.25">
      <c r="A86" s="3">
        <v>85</v>
      </c>
      <c r="B86" s="1">
        <v>46327</v>
      </c>
      <c r="C86" s="9" t="s">
        <v>19</v>
      </c>
      <c r="D86" s="10" t="s">
        <v>30</v>
      </c>
      <c r="E86" s="4">
        <v>42.68</v>
      </c>
      <c r="F86" s="3">
        <v>99</v>
      </c>
      <c r="G86" s="4">
        <f t="shared" si="1"/>
        <v>4225.32</v>
      </c>
      <c r="H86" s="4">
        <v>1254.96</v>
      </c>
      <c r="I86" s="9" t="s">
        <v>18</v>
      </c>
      <c r="J86" s="9" t="s">
        <v>17</v>
      </c>
      <c r="K86" s="3" t="s">
        <v>72</v>
      </c>
      <c r="L86" s="3">
        <v>44</v>
      </c>
    </row>
    <row r="87" spans="1:12" x14ac:dyDescent="0.25">
      <c r="A87" s="3">
        <v>86</v>
      </c>
      <c r="B87" s="1">
        <v>46328</v>
      </c>
      <c r="C87" s="9" t="s">
        <v>7</v>
      </c>
      <c r="D87" s="10" t="s">
        <v>30</v>
      </c>
      <c r="E87" s="4">
        <v>31.73</v>
      </c>
      <c r="F87" s="3">
        <v>79</v>
      </c>
      <c r="G87" s="4">
        <f t="shared" si="1"/>
        <v>2506.67</v>
      </c>
      <c r="H87" s="4">
        <v>390.27</v>
      </c>
      <c r="I87" s="9" t="s">
        <v>55</v>
      </c>
      <c r="J87" s="9" t="s">
        <v>17</v>
      </c>
      <c r="K87" s="3" t="s">
        <v>72</v>
      </c>
      <c r="L87" s="3">
        <v>45</v>
      </c>
    </row>
    <row r="88" spans="1:12" x14ac:dyDescent="0.25">
      <c r="A88" s="3">
        <v>87</v>
      </c>
      <c r="B88" s="1">
        <v>46328</v>
      </c>
      <c r="C88" s="9" t="s">
        <v>14</v>
      </c>
      <c r="D88" s="10" t="s">
        <v>28</v>
      </c>
      <c r="E88" s="4">
        <v>354.86</v>
      </c>
      <c r="F88" s="3">
        <v>8</v>
      </c>
      <c r="G88" s="4">
        <f t="shared" si="1"/>
        <v>2838.88</v>
      </c>
      <c r="H88" s="4">
        <v>785.96</v>
      </c>
      <c r="I88" s="9" t="s">
        <v>76</v>
      </c>
      <c r="J88" s="9" t="s">
        <v>9</v>
      </c>
      <c r="K88" s="3" t="s">
        <v>72</v>
      </c>
      <c r="L88" s="3">
        <v>45</v>
      </c>
    </row>
    <row r="89" spans="1:12" x14ac:dyDescent="0.25">
      <c r="A89" s="3">
        <v>88</v>
      </c>
      <c r="B89" s="1">
        <v>46329</v>
      </c>
      <c r="C89" s="9" t="s">
        <v>19</v>
      </c>
      <c r="D89" s="10" t="s">
        <v>67</v>
      </c>
      <c r="E89" s="4">
        <v>262.32</v>
      </c>
      <c r="F89" s="3">
        <v>2</v>
      </c>
      <c r="G89" s="4">
        <f t="shared" si="1"/>
        <v>524.64</v>
      </c>
      <c r="H89" s="4">
        <v>118.76</v>
      </c>
      <c r="I89" s="9" t="s">
        <v>18</v>
      </c>
      <c r="J89" s="9" t="s">
        <v>17</v>
      </c>
      <c r="K89" s="3" t="s">
        <v>72</v>
      </c>
      <c r="L89" s="3">
        <v>45</v>
      </c>
    </row>
    <row r="90" spans="1:12" x14ac:dyDescent="0.25">
      <c r="A90" s="3">
        <v>89</v>
      </c>
      <c r="B90" s="1">
        <v>46334</v>
      </c>
      <c r="C90" s="9" t="s">
        <v>7</v>
      </c>
      <c r="D90" s="10" t="s">
        <v>12</v>
      </c>
      <c r="E90" s="4">
        <v>160.91</v>
      </c>
      <c r="F90" s="3">
        <v>68</v>
      </c>
      <c r="G90" s="4">
        <f t="shared" si="1"/>
        <v>10941.88</v>
      </c>
      <c r="H90" s="4">
        <v>1312.82</v>
      </c>
      <c r="I90" s="9" t="s">
        <v>18</v>
      </c>
      <c r="J90" s="9" t="s">
        <v>17</v>
      </c>
      <c r="K90" s="3" t="s">
        <v>72</v>
      </c>
      <c r="L90" s="3">
        <v>45</v>
      </c>
    </row>
    <row r="91" spans="1:12" x14ac:dyDescent="0.25">
      <c r="A91" s="3">
        <v>90</v>
      </c>
      <c r="B91" s="1">
        <v>46341</v>
      </c>
      <c r="C91" s="9" t="s">
        <v>11</v>
      </c>
      <c r="D91" s="10" t="s">
        <v>67</v>
      </c>
      <c r="E91" s="4">
        <v>252.81</v>
      </c>
      <c r="F91" s="3">
        <v>99</v>
      </c>
      <c r="G91" s="4">
        <f t="shared" si="1"/>
        <v>25028.19</v>
      </c>
      <c r="H91" s="4">
        <v>6539.14</v>
      </c>
      <c r="I91" s="9" t="s">
        <v>74</v>
      </c>
      <c r="J91" s="9" t="s">
        <v>9</v>
      </c>
      <c r="K91" s="3" t="s">
        <v>72</v>
      </c>
      <c r="L91" s="3">
        <v>46</v>
      </c>
    </row>
    <row r="92" spans="1:12" x14ac:dyDescent="0.25">
      <c r="A92" s="3">
        <v>91</v>
      </c>
      <c r="B92" s="1">
        <v>46346</v>
      </c>
      <c r="C92" s="9" t="s">
        <v>14</v>
      </c>
      <c r="D92" s="10" t="s">
        <v>62</v>
      </c>
      <c r="E92" s="4">
        <v>494.91</v>
      </c>
      <c r="F92" s="3">
        <v>65</v>
      </c>
      <c r="G92" s="4">
        <f t="shared" si="1"/>
        <v>32169.15</v>
      </c>
      <c r="H92" s="4">
        <v>6524.36</v>
      </c>
      <c r="I92" s="9" t="s">
        <v>74</v>
      </c>
      <c r="J92" s="9" t="s">
        <v>9</v>
      </c>
      <c r="K92" s="3" t="s">
        <v>72</v>
      </c>
      <c r="L92" s="3">
        <v>47</v>
      </c>
    </row>
    <row r="93" spans="1:12" x14ac:dyDescent="0.25">
      <c r="A93" s="3">
        <v>92</v>
      </c>
      <c r="B93" s="1">
        <v>46347</v>
      </c>
      <c r="C93" s="9" t="s">
        <v>19</v>
      </c>
      <c r="D93" s="10" t="s">
        <v>15</v>
      </c>
      <c r="E93" s="4">
        <v>228.21</v>
      </c>
      <c r="F93" s="3">
        <v>97</v>
      </c>
      <c r="G93" s="4">
        <f t="shared" si="1"/>
        <v>22136.37</v>
      </c>
      <c r="H93" s="4">
        <v>5350.5</v>
      </c>
      <c r="I93" s="9" t="s">
        <v>84</v>
      </c>
      <c r="J93" s="9" t="s">
        <v>17</v>
      </c>
      <c r="K93" s="3" t="s">
        <v>72</v>
      </c>
      <c r="L93" s="3">
        <v>47</v>
      </c>
    </row>
    <row r="94" spans="1:12" x14ac:dyDescent="0.25">
      <c r="A94" s="3">
        <v>93</v>
      </c>
      <c r="B94" s="1">
        <v>46351</v>
      </c>
      <c r="C94" s="9" t="s">
        <v>7</v>
      </c>
      <c r="D94" s="10" t="s">
        <v>63</v>
      </c>
      <c r="E94" s="4">
        <v>243.82</v>
      </c>
      <c r="F94" s="3">
        <v>96</v>
      </c>
      <c r="G94" s="4">
        <f t="shared" si="1"/>
        <v>23406.720000000001</v>
      </c>
      <c r="H94" s="4">
        <v>6223.1</v>
      </c>
      <c r="I94" s="9" t="s">
        <v>55</v>
      </c>
      <c r="J94" s="9" t="s">
        <v>17</v>
      </c>
      <c r="K94" s="3" t="s">
        <v>72</v>
      </c>
      <c r="L94" s="3">
        <v>48</v>
      </c>
    </row>
    <row r="95" spans="1:12" x14ac:dyDescent="0.25">
      <c r="A95" s="3">
        <v>94</v>
      </c>
      <c r="B95" s="1">
        <v>46354</v>
      </c>
      <c r="C95" s="9" t="s">
        <v>11</v>
      </c>
      <c r="D95" s="10" t="s">
        <v>68</v>
      </c>
      <c r="E95" s="4">
        <v>417.56</v>
      </c>
      <c r="F95" s="3">
        <v>99</v>
      </c>
      <c r="G95" s="4">
        <f t="shared" si="1"/>
        <v>41338.44</v>
      </c>
      <c r="H95" s="4">
        <v>4203.12</v>
      </c>
      <c r="I95" s="9" t="s">
        <v>18</v>
      </c>
      <c r="J95" s="9" t="s">
        <v>17</v>
      </c>
      <c r="K95" s="3" t="s">
        <v>72</v>
      </c>
      <c r="L95" s="3">
        <v>48</v>
      </c>
    </row>
    <row r="96" spans="1:12" x14ac:dyDescent="0.25">
      <c r="A96" s="3">
        <v>95</v>
      </c>
      <c r="B96" s="1">
        <v>46355</v>
      </c>
      <c r="C96" s="9" t="s">
        <v>14</v>
      </c>
      <c r="D96" s="10" t="s">
        <v>62</v>
      </c>
      <c r="E96" s="4">
        <v>343.46</v>
      </c>
      <c r="F96" s="3">
        <v>97</v>
      </c>
      <c r="G96" s="4">
        <f t="shared" si="1"/>
        <v>33315.619999999995</v>
      </c>
      <c r="H96" s="4">
        <v>6520.91</v>
      </c>
      <c r="I96" s="9" t="s">
        <v>18</v>
      </c>
      <c r="J96" s="9" t="s">
        <v>17</v>
      </c>
      <c r="K96" s="3" t="s">
        <v>72</v>
      </c>
      <c r="L96" s="3">
        <v>48</v>
      </c>
    </row>
    <row r="97" spans="1:12" x14ac:dyDescent="0.25">
      <c r="A97" s="3">
        <v>96</v>
      </c>
      <c r="B97" s="1">
        <v>46363</v>
      </c>
      <c r="C97" s="9" t="s">
        <v>19</v>
      </c>
      <c r="D97" s="10" t="s">
        <v>27</v>
      </c>
      <c r="E97" s="4">
        <v>7.33</v>
      </c>
      <c r="F97" s="3">
        <v>30</v>
      </c>
      <c r="G97" s="4">
        <f t="shared" si="1"/>
        <v>219.9</v>
      </c>
      <c r="H97" s="4">
        <v>53.53</v>
      </c>
      <c r="I97" s="9" t="s">
        <v>79</v>
      </c>
      <c r="J97" s="9" t="s">
        <v>9</v>
      </c>
      <c r="K97" s="3" t="s">
        <v>73</v>
      </c>
      <c r="L97" s="3">
        <v>50</v>
      </c>
    </row>
    <row r="98" spans="1:12" x14ac:dyDescent="0.25">
      <c r="A98" s="3">
        <v>97</v>
      </c>
      <c r="B98" s="1">
        <v>46365</v>
      </c>
      <c r="C98" s="9" t="s">
        <v>7</v>
      </c>
      <c r="D98" s="10" t="s">
        <v>20</v>
      </c>
      <c r="E98" s="4">
        <v>272.64999999999998</v>
      </c>
      <c r="F98" s="3">
        <v>25</v>
      </c>
      <c r="G98" s="4">
        <f t="shared" si="1"/>
        <v>6816.2499999999991</v>
      </c>
      <c r="H98" s="4">
        <v>1966.28</v>
      </c>
      <c r="I98" s="9" t="s">
        <v>18</v>
      </c>
      <c r="J98" s="9" t="s">
        <v>17</v>
      </c>
      <c r="K98" s="3" t="s">
        <v>73</v>
      </c>
      <c r="L98" s="3">
        <v>50</v>
      </c>
    </row>
    <row r="99" spans="1:12" x14ac:dyDescent="0.25">
      <c r="A99" s="3">
        <v>98</v>
      </c>
      <c r="B99" s="1">
        <v>46369</v>
      </c>
      <c r="C99" s="9" t="s">
        <v>11</v>
      </c>
      <c r="D99" s="10" t="s">
        <v>28</v>
      </c>
      <c r="E99" s="4">
        <v>98.78</v>
      </c>
      <c r="F99" s="3">
        <v>7</v>
      </c>
      <c r="G99" s="4">
        <f t="shared" si="1"/>
        <v>691.46</v>
      </c>
      <c r="H99" s="4">
        <v>165.55</v>
      </c>
      <c r="I99" s="9" t="s">
        <v>79</v>
      </c>
      <c r="J99" s="9" t="s">
        <v>9</v>
      </c>
      <c r="K99" s="3" t="s">
        <v>73</v>
      </c>
      <c r="L99" s="3">
        <v>50</v>
      </c>
    </row>
    <row r="100" spans="1:12" x14ac:dyDescent="0.25">
      <c r="A100" s="3">
        <v>99</v>
      </c>
      <c r="B100" s="1">
        <v>46371</v>
      </c>
      <c r="C100" s="9" t="s">
        <v>14</v>
      </c>
      <c r="D100" s="10" t="s">
        <v>68</v>
      </c>
      <c r="E100" s="4">
        <v>36.14</v>
      </c>
      <c r="F100" s="3">
        <v>52</v>
      </c>
      <c r="G100" s="4">
        <f t="shared" si="1"/>
        <v>1879.28</v>
      </c>
      <c r="H100" s="4">
        <v>441.35</v>
      </c>
      <c r="I100" s="9" t="s">
        <v>55</v>
      </c>
      <c r="J100" s="9" t="s">
        <v>17</v>
      </c>
      <c r="K100" s="3" t="s">
        <v>73</v>
      </c>
      <c r="L100" s="3">
        <v>51</v>
      </c>
    </row>
    <row r="101" spans="1:12" x14ac:dyDescent="0.25">
      <c r="A101" s="3">
        <v>100</v>
      </c>
      <c r="B101" s="1">
        <v>46372</v>
      </c>
      <c r="C101" s="9" t="s">
        <v>19</v>
      </c>
      <c r="D101" s="10" t="s">
        <v>34</v>
      </c>
      <c r="E101" s="4">
        <v>323.49</v>
      </c>
      <c r="F101" s="3">
        <v>86</v>
      </c>
      <c r="G101" s="4">
        <f t="shared" si="1"/>
        <v>27820.14</v>
      </c>
      <c r="H101" s="4">
        <v>4153.8500000000004</v>
      </c>
      <c r="I101" s="9" t="s">
        <v>55</v>
      </c>
      <c r="J101" s="9" t="s">
        <v>17</v>
      </c>
      <c r="K101" s="3" t="s">
        <v>73</v>
      </c>
      <c r="L101" s="3">
        <v>51</v>
      </c>
    </row>
    <row r="102" spans="1:12" x14ac:dyDescent="0.25">
      <c r="G102" s="5">
        <f>SUM(G2:G101)</f>
        <v>1405406.5099999993</v>
      </c>
    </row>
    <row r="1048576" spans="7:8" x14ac:dyDescent="0.25">
      <c r="G1048576" s="5">
        <f>SUM(G2:G1048575)</f>
        <v>2810813.0199999986</v>
      </c>
      <c r="H1048576" s="5">
        <f>SUM(H2:H1048575)</f>
        <v>298120.95999999985</v>
      </c>
    </row>
  </sheetData>
  <autoFilter ref="A1:L101" xr:uid="{00000000-0001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Ahmidatou, Abderrahmane  1 /DZ</dc:creator>
  <cp:lastModifiedBy>seleem</cp:lastModifiedBy>
  <cp:lastPrinted>2025-05-14T07:55:59Z</cp:lastPrinted>
  <dcterms:created xsi:type="dcterms:W3CDTF">2024-11-27T08:38:26Z</dcterms:created>
  <dcterms:modified xsi:type="dcterms:W3CDTF">2025-07-10T15:23:57Z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088468-0951-4aef-9cc3-0a346e475ddc_Enabled">
    <vt:lpwstr>true</vt:lpwstr>
  </property>
  <property fmtid="{D5CDD505-2E9C-101B-9397-08002B2CF9AE}" pid="3" name="MSIP_Label_d9088468-0951-4aef-9cc3-0a346e475ddc_SetDate">
    <vt:lpwstr>2024-11-27T10:20:12Z</vt:lpwstr>
  </property>
  <property fmtid="{D5CDD505-2E9C-101B-9397-08002B2CF9AE}" pid="4" name="MSIP_Label_d9088468-0951-4aef-9cc3-0a346e475ddc_Method">
    <vt:lpwstr>Privileged</vt:lpwstr>
  </property>
  <property fmtid="{D5CDD505-2E9C-101B-9397-08002B2CF9AE}" pid="5" name="MSIP_Label_d9088468-0951-4aef-9cc3-0a346e475ddc_Name">
    <vt:lpwstr>Public</vt:lpwstr>
  </property>
  <property fmtid="{D5CDD505-2E9C-101B-9397-08002B2CF9AE}" pid="6" name="MSIP_Label_d9088468-0951-4aef-9cc3-0a346e475ddc_SiteId">
    <vt:lpwstr>aca3c8d6-aa71-4e1a-a10e-03572fc58c0b</vt:lpwstr>
  </property>
  <property fmtid="{D5CDD505-2E9C-101B-9397-08002B2CF9AE}" pid="7" name="MSIP_Label_d9088468-0951-4aef-9cc3-0a346e475ddc_ActionId">
    <vt:lpwstr>4f2fa609-f4d1-4bc0-8273-681d9dbc834e</vt:lpwstr>
  </property>
  <property fmtid="{D5CDD505-2E9C-101B-9397-08002B2CF9AE}" pid="8" name="MSIP_Label_d9088468-0951-4aef-9cc3-0a346e475ddc_ContentBits">
    <vt:lpwstr>0</vt:lpwstr>
  </property>
</Properties>
</file>