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ml.chartshapes+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66925"/>
  <mc:AlternateContent xmlns:mc="http://schemas.openxmlformats.org/markup-compatibility/2006">
    <mc:Choice Requires="x15">
      <x15ac:absPath xmlns:x15ac="http://schemas.microsoft.com/office/spreadsheetml/2010/11/ac" url="F:\Selim\my_learn\study-Excel-udemy\المستوى الثالث\"/>
    </mc:Choice>
  </mc:AlternateContent>
  <xr:revisionPtr revIDLastSave="0" documentId="13_ncr:1_{012878C3-5AA9-4C84-85E5-ED0B86F76C55}" xr6:coauthVersionLast="47" xr6:coauthVersionMax="47" xr10:uidLastSave="{00000000-0000-0000-0000-000000000000}"/>
  <bookViews>
    <workbookView xWindow="-120" yWindow="-120" windowWidth="29040" windowHeight="15840" tabRatio="534" xr2:uid="{83450228-6ABB-4463-9E01-81C2F552CCAF}"/>
  </bookViews>
  <sheets>
    <sheet name="Dashboard" sheetId="6" r:id="rId1"/>
    <sheet name="Pivot_tables" sheetId="7" r:id="rId2"/>
    <sheet name="Database" sheetId="5" r:id="rId3"/>
  </sheets>
  <definedNames>
    <definedName name="_xlnm._FilterDatabase" localSheetId="2" hidden="1">Database!$A$1:$L$101</definedName>
    <definedName name="_xlchart.v5.0" hidden="1">Pivot_tables!$V$3</definedName>
    <definedName name="_xlchart.v5.1" hidden="1">Pivot_tables!$V$4:$V$22</definedName>
    <definedName name="_xlchart.v5.2" hidden="1">Pivot_tables!$W$3</definedName>
    <definedName name="_xlchart.v5.3" hidden="1">Pivot_tables!$W$4:$W$22</definedName>
    <definedName name="Slicer_Month">#N/A</definedName>
    <definedName name="Slicer_Region">#N/A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8" i="7" l="1"/>
  <c r="D18" i="7"/>
  <c r="E18" i="7"/>
  <c r="F18" i="7"/>
  <c r="G18" i="7"/>
  <c r="C19" i="7"/>
  <c r="D19" i="7"/>
  <c r="E19" i="7"/>
  <c r="F19" i="7"/>
  <c r="G19" i="7"/>
  <c r="C20" i="7"/>
  <c r="D20" i="7"/>
  <c r="E20" i="7"/>
  <c r="F20" i="7"/>
  <c r="G20" i="7"/>
  <c r="C21" i="7"/>
  <c r="D21" i="7"/>
  <c r="E21" i="7"/>
  <c r="F21" i="7"/>
  <c r="G21" i="7"/>
  <c r="C22" i="7"/>
  <c r="D22" i="7"/>
  <c r="E22" i="7"/>
  <c r="F22" i="7"/>
  <c r="G22" i="7"/>
  <c r="C23" i="7"/>
  <c r="D23" i="7"/>
  <c r="E23" i="7"/>
  <c r="F23" i="7"/>
  <c r="G23" i="7"/>
  <c r="C24" i="7"/>
  <c r="D24" i="7"/>
  <c r="E24" i="7"/>
  <c r="F24" i="7"/>
  <c r="G24" i="7"/>
  <c r="C25" i="7"/>
  <c r="D25" i="7"/>
  <c r="E25" i="7"/>
  <c r="F25" i="7"/>
  <c r="G25" i="7"/>
  <c r="C26" i="7"/>
  <c r="D26" i="7"/>
  <c r="E26" i="7"/>
  <c r="F26" i="7"/>
  <c r="G26" i="7"/>
  <c r="C27" i="7"/>
  <c r="D27" i="7"/>
  <c r="E27" i="7"/>
  <c r="F27" i="7"/>
  <c r="G27" i="7"/>
  <c r="C28" i="7"/>
  <c r="D28" i="7"/>
  <c r="E28" i="7"/>
  <c r="F28" i="7"/>
  <c r="G28" i="7"/>
  <c r="C29" i="7"/>
  <c r="D29" i="7"/>
  <c r="E29" i="7"/>
  <c r="F29" i="7"/>
  <c r="G29" i="7"/>
  <c r="D17" i="7"/>
  <c r="E17" i="7"/>
  <c r="F17" i="7"/>
  <c r="G17" i="7"/>
  <c r="C17" i="7"/>
  <c r="H1048576" i="5"/>
  <c r="G79" i="5"/>
  <c r="W22" i="7"/>
  <c r="V22" i="7"/>
  <c r="W21" i="7"/>
  <c r="V21" i="7"/>
  <c r="W20" i="7"/>
  <c r="V20" i="7"/>
  <c r="W19" i="7"/>
  <c r="V19" i="7"/>
  <c r="W18" i="7"/>
  <c r="V18" i="7"/>
  <c r="W17" i="7"/>
  <c r="V17" i="7"/>
  <c r="W16" i="7"/>
  <c r="V16" i="7"/>
  <c r="W15" i="7"/>
  <c r="V15" i="7"/>
  <c r="W14" i="7"/>
  <c r="V14" i="7"/>
  <c r="W13" i="7"/>
  <c r="V13" i="7"/>
  <c r="W12" i="7"/>
  <c r="V12" i="7"/>
  <c r="W11" i="7"/>
  <c r="V11" i="7"/>
  <c r="W10" i="7"/>
  <c r="V10" i="7"/>
  <c r="W9" i="7"/>
  <c r="V9" i="7"/>
  <c r="W8" i="7"/>
  <c r="V8" i="7"/>
  <c r="W7" i="7"/>
  <c r="V7" i="7"/>
  <c r="W6" i="7"/>
  <c r="V6" i="7"/>
  <c r="W5" i="7"/>
  <c r="V5" i="7"/>
  <c r="W4" i="7"/>
  <c r="V4" i="7"/>
  <c r="S5" i="7"/>
  <c r="S6" i="7"/>
  <c r="S7" i="7"/>
  <c r="S8" i="7"/>
  <c r="S9" i="7"/>
  <c r="S10" i="7"/>
  <c r="S11" i="7"/>
  <c r="S12" i="7"/>
  <c r="S13" i="7"/>
  <c r="S14" i="7"/>
  <c r="S15" i="7"/>
  <c r="S16" i="7"/>
  <c r="S17" i="7"/>
  <c r="S18" i="7"/>
  <c r="S19" i="7"/>
  <c r="S20" i="7"/>
  <c r="S21" i="7"/>
  <c r="S22" i="7"/>
  <c r="S23" i="7"/>
  <c r="S24" i="7"/>
  <c r="S25" i="7"/>
  <c r="S26" i="7"/>
  <c r="S27" i="7"/>
  <c r="S28" i="7"/>
  <c r="S29" i="7"/>
  <c r="S30" i="7"/>
  <c r="S31" i="7"/>
  <c r="S32" i="7"/>
  <c r="S33" i="7"/>
  <c r="S34" i="7"/>
  <c r="S35" i="7"/>
  <c r="S36" i="7"/>
  <c r="S37" i="7"/>
  <c r="S38" i="7"/>
  <c r="S39" i="7"/>
  <c r="S40" i="7"/>
  <c r="S41" i="7"/>
  <c r="S42" i="7"/>
  <c r="R4" i="7"/>
  <c r="S4" i="7"/>
  <c r="R5" i="7"/>
  <c r="R6" i="7"/>
  <c r="R7" i="7"/>
  <c r="R8" i="7"/>
  <c r="R9" i="7"/>
  <c r="R10" i="7"/>
  <c r="R11" i="7"/>
  <c r="R12" i="7"/>
  <c r="R13" i="7"/>
  <c r="R14" i="7"/>
  <c r="R15" i="7"/>
  <c r="R16" i="7"/>
  <c r="R17" i="7"/>
  <c r="R18" i="7"/>
  <c r="R19" i="7"/>
  <c r="R20" i="7"/>
  <c r="R21" i="7"/>
  <c r="R22" i="7"/>
  <c r="R23" i="7"/>
  <c r="R24" i="7"/>
  <c r="R25" i="7"/>
  <c r="R26" i="7"/>
  <c r="R27" i="7"/>
  <c r="R28" i="7"/>
  <c r="R29" i="7"/>
  <c r="R30" i="7"/>
  <c r="R31" i="7"/>
  <c r="R32" i="7"/>
  <c r="R33" i="7"/>
  <c r="R34" i="7"/>
  <c r="R35" i="7"/>
  <c r="R36" i="7"/>
  <c r="R37" i="7"/>
  <c r="R38" i="7"/>
  <c r="R39" i="7"/>
  <c r="R40" i="7"/>
  <c r="R41" i="7"/>
  <c r="R42" i="7"/>
  <c r="L12" i="7"/>
  <c r="M12" i="7"/>
  <c r="L13" i="7"/>
  <c r="M13" i="7"/>
  <c r="L14" i="7"/>
  <c r="M14" i="7"/>
  <c r="M11" i="7"/>
  <c r="L11" i="7"/>
  <c r="K12" i="7"/>
  <c r="K13" i="7"/>
  <c r="K14" i="7"/>
  <c r="K15" i="7"/>
  <c r="K11" i="7"/>
  <c r="J12" i="7"/>
  <c r="J13" i="7"/>
  <c r="J14" i="7"/>
  <c r="J15" i="7"/>
  <c r="J11" i="7"/>
  <c r="I27" i="7"/>
  <c r="H27" i="7"/>
  <c r="I28" i="7"/>
  <c r="I29" i="7"/>
  <c r="I30" i="7"/>
  <c r="I31" i="7"/>
  <c r="I32" i="7"/>
  <c r="I33" i="7"/>
  <c r="I34" i="7"/>
  <c r="I35" i="7"/>
  <c r="I36" i="7"/>
  <c r="H28" i="7"/>
  <c r="H29" i="7"/>
  <c r="H30" i="7"/>
  <c r="H31" i="7"/>
  <c r="H32" i="7"/>
  <c r="H33" i="7"/>
  <c r="H34" i="7"/>
  <c r="H35" i="7"/>
  <c r="H36" i="7"/>
  <c r="B9" i="7"/>
  <c r="A9" i="7"/>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80" i="5"/>
  <c r="G81" i="5"/>
  <c r="G82" i="5"/>
  <c r="G83" i="5"/>
  <c r="G84" i="5"/>
  <c r="G85" i="5"/>
  <c r="G86" i="5"/>
  <c r="G87" i="5"/>
  <c r="G88" i="5"/>
  <c r="G89" i="5"/>
  <c r="G90" i="5"/>
  <c r="G91" i="5"/>
  <c r="G92" i="5"/>
  <c r="G93" i="5"/>
  <c r="G102" i="5" s="1"/>
  <c r="G1048576" i="5" s="1"/>
  <c r="G94" i="5"/>
  <c r="G95" i="5"/>
  <c r="G96" i="5"/>
  <c r="G97" i="5"/>
  <c r="G98" i="5"/>
  <c r="G99" i="5"/>
  <c r="G100" i="5"/>
  <c r="G101" i="5"/>
  <c r="G2" i="5"/>
  <c r="B10" i="7" l="1"/>
</calcChain>
</file>

<file path=xl/sharedStrings.xml><?xml version="1.0" encoding="utf-8"?>
<sst xmlns="http://schemas.openxmlformats.org/spreadsheetml/2006/main" count="603" uniqueCount="91">
  <si>
    <t>Date</t>
  </si>
  <si>
    <t>Customer</t>
  </si>
  <si>
    <t>Product</t>
  </si>
  <si>
    <t>Quantity</t>
  </si>
  <si>
    <t>Country</t>
  </si>
  <si>
    <t>Region</t>
  </si>
  <si>
    <t>Month</t>
  </si>
  <si>
    <t>AliTech</t>
  </si>
  <si>
    <t>Saudi Arabia</t>
  </si>
  <si>
    <t>Middle East</t>
  </si>
  <si>
    <t>January</t>
  </si>
  <si>
    <t>StarMall</t>
  </si>
  <si>
    <t>Keyboard</t>
  </si>
  <si>
    <t>UAE</t>
  </si>
  <si>
    <t>Shopper's Hub</t>
  </si>
  <si>
    <t>Headphones</t>
  </si>
  <si>
    <t>Egypt</t>
  </si>
  <si>
    <t>North Africa</t>
  </si>
  <si>
    <t>Algeria</t>
  </si>
  <si>
    <t>TechMart</t>
  </si>
  <si>
    <t>Monitor</t>
  </si>
  <si>
    <t>Lebanon</t>
  </si>
  <si>
    <t>Levant</t>
  </si>
  <si>
    <t>Wireless Charger</t>
  </si>
  <si>
    <t>Jordan</t>
  </si>
  <si>
    <t>Qatar</t>
  </si>
  <si>
    <t>External Hard Drive</t>
  </si>
  <si>
    <t>Desk Lamp</t>
  </si>
  <si>
    <t>Bluetooth Speaker</t>
  </si>
  <si>
    <t>February</t>
  </si>
  <si>
    <t>Power Bank</t>
  </si>
  <si>
    <t>N°</t>
  </si>
  <si>
    <t>March</t>
  </si>
  <si>
    <t>April</t>
  </si>
  <si>
    <t>Fitness Tracker</t>
  </si>
  <si>
    <t>May</t>
  </si>
  <si>
    <t>EcoShop</t>
  </si>
  <si>
    <t>TechDeals</t>
  </si>
  <si>
    <t>DailyEssentials</t>
  </si>
  <si>
    <t>ValueMart</t>
  </si>
  <si>
    <t>FreshStart</t>
  </si>
  <si>
    <t>June</t>
  </si>
  <si>
    <t>CityEssentials</t>
  </si>
  <si>
    <t>LifeGoods</t>
  </si>
  <si>
    <t>RapidDeals</t>
  </si>
  <si>
    <t>SuperShop</t>
  </si>
  <si>
    <t>EasyMart</t>
  </si>
  <si>
    <t>ValueShop</t>
  </si>
  <si>
    <t>ShopperPlus</t>
  </si>
  <si>
    <t>BrightDeals</t>
  </si>
  <si>
    <t>MegaGadgets</t>
  </si>
  <si>
    <t>July</t>
  </si>
  <si>
    <t>Smartwatch</t>
  </si>
  <si>
    <t>August</t>
  </si>
  <si>
    <t>Libya</t>
  </si>
  <si>
    <t>Tunisia</t>
  </si>
  <si>
    <t>Unit Price</t>
  </si>
  <si>
    <t>Sales</t>
  </si>
  <si>
    <t>Total Profit</t>
  </si>
  <si>
    <t>Week Number</t>
  </si>
  <si>
    <t>Smartphone</t>
  </si>
  <si>
    <t>Mouse</t>
  </si>
  <si>
    <t>Printer</t>
  </si>
  <si>
    <t>Portable SSD</t>
  </si>
  <si>
    <t>USB Flash Drive</t>
  </si>
  <si>
    <t>Laptop</t>
  </si>
  <si>
    <t>Projector</t>
  </si>
  <si>
    <t>Tablet</t>
  </si>
  <si>
    <t>Router</t>
  </si>
  <si>
    <t>Camera</t>
  </si>
  <si>
    <t>September</t>
  </si>
  <si>
    <t>October</t>
  </si>
  <si>
    <t>November</t>
  </si>
  <si>
    <t>December</t>
  </si>
  <si>
    <t>Bahrain</t>
  </si>
  <si>
    <t>Iraq</t>
  </si>
  <si>
    <t>Kuwait</t>
  </si>
  <si>
    <t>Oman</t>
  </si>
  <si>
    <t>Palestine</t>
  </si>
  <si>
    <t>Syria</t>
  </si>
  <si>
    <t>Yemen</t>
  </si>
  <si>
    <t>Horn of Africa</t>
  </si>
  <si>
    <t>Sudan</t>
  </si>
  <si>
    <t>South Sudan</t>
  </si>
  <si>
    <t>Western Sahara</t>
  </si>
  <si>
    <t>Sum of Sales</t>
  </si>
  <si>
    <t>Sum of Total Profit</t>
  </si>
  <si>
    <t>Column Labels</t>
  </si>
  <si>
    <t>Row Labels</t>
  </si>
  <si>
    <t>Column1</t>
  </si>
  <si>
    <t>Column2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</si>
</sst>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43" formatCode="_(* #,##0.00_);_(* \(#,##0.00\);_(* &quot;-&quot;??_);_(@_)"/>
    <numFmt numFmtId="164" formatCode="_(* #,##0_);_(* \(#,##0\);_(* &quot;-&quot;??_);_(@_)"/>
  </numFmts>
  <fonts count="3" x14ac:knownFonts="1">
    <font>
      <sz val="11"/>
      <color theme="1"/>
      <name val="Calibri"/>
      <family val="2"/>
      <scheme val="minor"/>
    </font>
    <font>
      <sz val="11"/>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4" tint="0.79998168889431442"/>
        <bgColor indexed="64"/>
      </patternFill>
    </fill>
    <fill>
      <patternFill patternType="solid">
        <fgColor theme="9"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4">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cellStyleXfs>
  <cellXfs count="18">
    <xf numFmtId="0" fontId="0" fillId="0" borderId="0" xfId="0"/>
    <xf numFmtId="14" fontId="0" fillId="0" borderId="1" xfId="0" applyNumberFormat="1" applyBorder="1" applyAlignment="1">
      <alignment horizontal="center" vertical="center"/>
    </xf>
    <xf numFmtId="0" fontId="0" fillId="0" borderId="0" xfId="0" applyAlignment="1">
      <alignment horizontal="center"/>
    </xf>
    <xf numFmtId="0" fontId="0" fillId="0" borderId="1" xfId="0" applyBorder="1" applyAlignment="1">
      <alignment horizontal="center"/>
    </xf>
    <xf numFmtId="164" fontId="0" fillId="0" borderId="1" xfId="1" applyNumberFormat="1" applyFont="1" applyBorder="1" applyAlignment="1">
      <alignment horizontal="center"/>
    </xf>
    <xf numFmtId="164" fontId="0" fillId="0" borderId="0" xfId="1" applyNumberFormat="1" applyFont="1" applyAlignment="1">
      <alignment horizontal="center"/>
    </xf>
    <xf numFmtId="0" fontId="2" fillId="2" borderId="1" xfId="0" applyFont="1" applyFill="1" applyBorder="1" applyAlignment="1">
      <alignment horizontal="center" vertical="center" wrapText="1"/>
    </xf>
    <xf numFmtId="164" fontId="2" fillId="2" borderId="1" xfId="1" applyNumberFormat="1" applyFont="1" applyFill="1" applyBorder="1" applyAlignment="1">
      <alignment horizontal="center" vertical="center" wrapText="1"/>
    </xf>
    <xf numFmtId="0" fontId="0" fillId="0" borderId="0" xfId="0" applyAlignment="1">
      <alignment horizontal="left"/>
    </xf>
    <xf numFmtId="0" fontId="0" fillId="0" borderId="1" xfId="0" applyBorder="1" applyAlignment="1">
      <alignment horizontal="left" vertical="center"/>
    </xf>
    <xf numFmtId="0" fontId="0" fillId="0" borderId="1" xfId="0" applyBorder="1" applyAlignment="1">
      <alignment horizontal="left"/>
    </xf>
    <xf numFmtId="0" fontId="0" fillId="0" borderId="0" xfId="0" applyAlignment="1">
      <alignment horizontal="center" vertical="center" wrapText="1"/>
    </xf>
    <xf numFmtId="0" fontId="0" fillId="3" borderId="0" xfId="0" applyFill="1"/>
    <xf numFmtId="164" fontId="0" fillId="0" borderId="0" xfId="0" applyNumberFormat="1"/>
    <xf numFmtId="9" fontId="0" fillId="0" borderId="0" xfId="3" applyFont="1"/>
    <xf numFmtId="1" fontId="0" fillId="0" borderId="0" xfId="2" applyNumberFormat="1" applyFont="1"/>
    <xf numFmtId="0" fontId="0" fillId="0" borderId="0" xfId="0" pivotButton="1"/>
    <xf numFmtId="1" fontId="0" fillId="0" borderId="0" xfId="0" applyNumberFormat="1"/>
  </cellXfs>
  <cellStyles count="4">
    <cellStyle name="Comma 2" xfId="1" xr:uid="{5C5D586A-FBF2-48E9-8F9A-4DCA9D9CFF54}"/>
    <cellStyle name="Currency" xfId="2" builtinId="4"/>
    <cellStyle name="Normal" xfId="0" builtinId="0"/>
    <cellStyle name="Percent" xfId="3" builtinId="5"/>
  </cellStyles>
  <dxfs count="6">
    <dxf>
      <numFmt numFmtId="164" formatCode="_(* #,##0_);_(* \(#,##0\);_(* &quot;-&quot;??_);_(@_)"/>
    </dxf>
    <dxf>
      <numFmt numFmtId="1" formatCode="0"/>
    </dxf>
    <dxf>
      <numFmt numFmtId="164" formatCode="_(* #,##0_);_(* \(#,##0\);_(* &quot;-&quot;??_);_(@_)"/>
    </dxf>
    <dxf>
      <numFmt numFmtId="164" formatCode="_(* #,##0_);_(* \(#,##0\);_(* &quot;-&quot;??_);_(@_)"/>
    </dxf>
    <dxf>
      <numFmt numFmtId="164" formatCode="_(* #,##0_);_(* \(#,##0\);_(* &quot;-&quot;??_);_(@_)"/>
    </dxf>
    <dxf>
      <numFmt numFmtId="164" formatCode="_(* #,##0_);_(* \(#,##0\);_(* &quot;-&quot;??_);_(@_)"/>
    </dxf>
  </dxfs>
  <tableStyles count="0" defaultTableStyle="TableStyleMedium2" defaultPivotStyle="PivotStyleLight16"/>
  <colors>
    <mruColors>
      <color rgb="FF758D6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6/relationships/vbaProject" Target="vbaProject.bin"/><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4004088764812907E-2"/>
          <c:y val="0.11028169902291086"/>
          <c:w val="0.85219685039370074"/>
          <c:h val="0.61847732575094783"/>
        </c:manualLayout>
      </c:layout>
      <c:barChart>
        <c:barDir val="col"/>
        <c:grouping val="stacked"/>
        <c:varyColors val="0"/>
        <c:dLbls>
          <c:showLegendKey val="0"/>
          <c:showVal val="0"/>
          <c:showCatName val="0"/>
          <c:showSerName val="0"/>
          <c:showPercent val="0"/>
          <c:showBubbleSize val="0"/>
        </c:dLbls>
        <c:gapWidth val="219"/>
        <c:overlap val="100"/>
        <c:axId val="38929024"/>
        <c:axId val="48727808"/>
      </c:barChart>
      <c:catAx>
        <c:axId val="38929024"/>
        <c:scaling>
          <c:orientation val="minMax"/>
        </c:scaling>
        <c:delete val="1"/>
        <c:axPos val="b"/>
        <c:numFmt formatCode="General" sourceLinked="1"/>
        <c:majorTickMark val="none"/>
        <c:minorTickMark val="none"/>
        <c:tickLblPos val="nextTo"/>
        <c:crossAx val="48727808"/>
        <c:crosses val="autoZero"/>
        <c:auto val="1"/>
        <c:lblAlgn val="ctr"/>
        <c:lblOffset val="100"/>
        <c:noMultiLvlLbl val="0"/>
      </c:catAx>
      <c:valAx>
        <c:axId val="48727808"/>
        <c:scaling>
          <c:orientation val="minMax"/>
        </c:scaling>
        <c:delete val="1"/>
        <c:axPos val="l"/>
        <c:numFmt formatCode="0" sourceLinked="1"/>
        <c:majorTickMark val="none"/>
        <c:minorTickMark val="none"/>
        <c:tickLblPos val="nextTo"/>
        <c:crossAx val="38929024"/>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b="1"/>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manualLayout>
          <c:layoutTarget val="inner"/>
          <c:xMode val="edge"/>
          <c:yMode val="edge"/>
          <c:x val="0.28542763659874365"/>
          <c:y val="0.2110991541995591"/>
          <c:w val="0.59278177470419013"/>
          <c:h val="0.78444729872986507"/>
        </c:manualLayout>
      </c:layout>
      <c:barChart>
        <c:barDir val="bar"/>
        <c:grouping val="clustered"/>
        <c:varyColors val="0"/>
        <c:ser>
          <c:idx val="0"/>
          <c:order val="0"/>
          <c:spPr>
            <a:solidFill>
              <a:srgbClr val="758D67"/>
            </a:solidFill>
            <a:ln>
              <a:noFill/>
            </a:ln>
            <a:effectLst/>
          </c:spPr>
          <c:invertIfNegative val="0"/>
          <c:dLbls>
            <c:spPr>
              <a:noFill/>
              <a:ln>
                <a:noFill/>
              </a:ln>
              <a:effectLst/>
            </c:spPr>
            <c:txPr>
              <a:bodyPr rot="0" spcFirstLastPara="1" vertOverflow="ellipsis" vert="horz" wrap="square" anchor="ctr" anchorCtr="1"/>
              <a:lstStyle/>
              <a:p>
                <a:pPr>
                  <a:defRPr sz="1200" b="1" i="0" u="none" strike="noStrike" kern="1200" baseline="0">
                    <a:solidFill>
                      <a:srgbClr val="FFFF00"/>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Pivot_tables!$H$27:$H$36</c:f>
              <c:strCache>
                <c:ptCount val="10"/>
                <c:pt idx="0">
                  <c:v>Router</c:v>
                </c:pt>
                <c:pt idx="1">
                  <c:v>External Hard Drive</c:v>
                </c:pt>
                <c:pt idx="2">
                  <c:v>Bluetooth Speaker</c:v>
                </c:pt>
                <c:pt idx="3">
                  <c:v>Desk Lamp</c:v>
                </c:pt>
                <c:pt idx="4">
                  <c:v>Tablet</c:v>
                </c:pt>
                <c:pt idx="5">
                  <c:v>Portable SSD</c:v>
                </c:pt>
                <c:pt idx="6">
                  <c:v>Headphones</c:v>
                </c:pt>
                <c:pt idx="7">
                  <c:v>Printer</c:v>
                </c:pt>
                <c:pt idx="8">
                  <c:v>Laptop</c:v>
                </c:pt>
                <c:pt idx="9">
                  <c:v>Keyboard</c:v>
                </c:pt>
              </c:strCache>
            </c:strRef>
          </c:cat>
          <c:val>
            <c:numRef>
              <c:f>Pivot_tables!$I$27:$I$36</c:f>
              <c:numCache>
                <c:formatCode>_(* #,##0_);_(* \(#,##0\);_(* "-"??_);_(@_)</c:formatCode>
                <c:ptCount val="10"/>
                <c:pt idx="0">
                  <c:v>133188.24999999997</c:v>
                </c:pt>
                <c:pt idx="1">
                  <c:v>114197.98999999999</c:v>
                </c:pt>
                <c:pt idx="2">
                  <c:v>109271.89</c:v>
                </c:pt>
                <c:pt idx="3">
                  <c:v>102458.74999999999</c:v>
                </c:pt>
                <c:pt idx="4">
                  <c:v>98651.650000000009</c:v>
                </c:pt>
                <c:pt idx="5">
                  <c:v>93719.87999999999</c:v>
                </c:pt>
                <c:pt idx="6">
                  <c:v>90446.549999999988</c:v>
                </c:pt>
                <c:pt idx="7">
                  <c:v>82443.009999999995</c:v>
                </c:pt>
                <c:pt idx="8">
                  <c:v>77913</c:v>
                </c:pt>
                <c:pt idx="9">
                  <c:v>76293</c:v>
                </c:pt>
              </c:numCache>
            </c:numRef>
          </c:val>
          <c:extLst>
            <c:ext xmlns:c16="http://schemas.microsoft.com/office/drawing/2014/chart" uri="{C3380CC4-5D6E-409C-BE32-E72D297353CC}">
              <c16:uniqueId val="{00000000-BE4F-4EFD-B62D-802F8329F4EE}"/>
            </c:ext>
          </c:extLst>
        </c:ser>
        <c:dLbls>
          <c:showLegendKey val="0"/>
          <c:showVal val="0"/>
          <c:showCatName val="0"/>
          <c:showSerName val="0"/>
          <c:showPercent val="0"/>
          <c:showBubbleSize val="0"/>
        </c:dLbls>
        <c:gapWidth val="70"/>
        <c:axId val="48728288"/>
        <c:axId val="37579728"/>
      </c:barChart>
      <c:catAx>
        <c:axId val="48728288"/>
        <c:scaling>
          <c:orientation val="maxMin"/>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37579728"/>
        <c:crosses val="autoZero"/>
        <c:auto val="1"/>
        <c:lblAlgn val="ctr"/>
        <c:lblOffset val="100"/>
        <c:noMultiLvlLbl val="0"/>
      </c:catAx>
      <c:valAx>
        <c:axId val="37579728"/>
        <c:scaling>
          <c:orientation val="minMax"/>
        </c:scaling>
        <c:delete val="0"/>
        <c:axPos val="t"/>
        <c:numFmt formatCode="_(* #,##0_);_(* \(#,##0\);_(* &quot;-&quot;??_);_(@_)" sourceLinked="1"/>
        <c:majorTickMark val="out"/>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487282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12700" cap="flat" cmpd="sng" algn="ctr">
      <a:noFill/>
      <a:round/>
    </a:ln>
    <a:effectLst/>
  </c:spPr>
  <c:txPr>
    <a:bodyPr/>
    <a:lstStyle/>
    <a:p>
      <a:pPr>
        <a:defRPr b="1"/>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w="19050"/>
          </c:spPr>
          <c:explosion val="4"/>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8EF-4A56-B577-BE4797EF72F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8EF-4A56-B577-BE4797EF72F2}"/>
              </c:ext>
            </c:extLst>
          </c:dPt>
          <c:dPt>
            <c:idx val="2"/>
            <c:bubble3D val="0"/>
            <c:explosion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5-C8EF-4A56-B577-BE4797EF72F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8EF-4A56-B577-BE4797EF72F2}"/>
              </c:ext>
            </c:extLst>
          </c:dPt>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Pivot_tables!$L$11:$L$14</c:f>
              <c:strCache>
                <c:ptCount val="4"/>
                <c:pt idx="0">
                  <c:v>Horn of Africa</c:v>
                </c:pt>
                <c:pt idx="1">
                  <c:v>Levant</c:v>
                </c:pt>
                <c:pt idx="2">
                  <c:v>Middle East</c:v>
                </c:pt>
                <c:pt idx="3">
                  <c:v>North Africa</c:v>
                </c:pt>
              </c:strCache>
            </c:strRef>
          </c:cat>
          <c:val>
            <c:numRef>
              <c:f>Pivot_tables!$M$11:$M$14</c:f>
              <c:numCache>
                <c:formatCode>_(* #,##0_);_(* \(#,##0\);_(* "-"??_);_(@_)</c:formatCode>
                <c:ptCount val="4"/>
                <c:pt idx="0">
                  <c:v>93475.81</c:v>
                </c:pt>
                <c:pt idx="1">
                  <c:v>215999.92999999996</c:v>
                </c:pt>
                <c:pt idx="2">
                  <c:v>364966.80000000005</c:v>
                </c:pt>
                <c:pt idx="3">
                  <c:v>730963.9700000002</c:v>
                </c:pt>
              </c:numCache>
            </c:numRef>
          </c:val>
          <c:extLst>
            <c:ext xmlns:c16="http://schemas.microsoft.com/office/drawing/2014/chart" uri="{C3380CC4-5D6E-409C-BE32-E72D297353CC}">
              <c16:uniqueId val="{00000008-C8EF-4A56-B577-BE4797EF72F2}"/>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9569335839940418E-2"/>
          <c:y val="8.5923745089055051E-2"/>
          <c:w val="0.87431763071138602"/>
          <c:h val="0.74085353766763828"/>
        </c:manualLayout>
      </c:layout>
      <c:areaChart>
        <c:grouping val="stacked"/>
        <c:varyColors val="0"/>
        <c:ser>
          <c:idx val="0"/>
          <c:order val="0"/>
          <c:tx>
            <c:strRef>
              <c:f>Pivot_tables!$R$3</c:f>
              <c:strCache>
                <c:ptCount val="1"/>
                <c:pt idx="0">
                  <c:v>Row Labels</c:v>
                </c:pt>
              </c:strCache>
            </c:strRef>
          </c:tx>
          <c:spPr>
            <a:solidFill>
              <a:schemeClr val="accent2"/>
            </a:solidFill>
            <a:ln>
              <a:noFill/>
            </a:ln>
            <a:effectLst/>
          </c:spPr>
          <c:val>
            <c:numRef>
              <c:f>Pivot_tables!$R$4:$R$42</c:f>
              <c:numCache>
                <c:formatCode>General</c:formatCode>
                <c:ptCount val="39"/>
                <c:pt idx="0">
                  <c:v>1</c:v>
                </c:pt>
                <c:pt idx="1">
                  <c:v>2</c:v>
                </c:pt>
                <c:pt idx="2">
                  <c:v>5</c:v>
                </c:pt>
                <c:pt idx="3">
                  <c:v>6</c:v>
                </c:pt>
                <c:pt idx="4">
                  <c:v>7</c:v>
                </c:pt>
                <c:pt idx="5">
                  <c:v>9</c:v>
                </c:pt>
                <c:pt idx="6">
                  <c:v>10</c:v>
                </c:pt>
                <c:pt idx="7">
                  <c:v>14</c:v>
                </c:pt>
                <c:pt idx="8">
                  <c:v>15</c:v>
                </c:pt>
                <c:pt idx="9">
                  <c:v>16</c:v>
                </c:pt>
                <c:pt idx="10">
                  <c:v>17</c:v>
                </c:pt>
                <c:pt idx="11">
                  <c:v>19</c:v>
                </c:pt>
                <c:pt idx="12">
                  <c:v>20</c:v>
                </c:pt>
                <c:pt idx="13">
                  <c:v>21</c:v>
                </c:pt>
                <c:pt idx="14">
                  <c:v>22</c:v>
                </c:pt>
                <c:pt idx="15">
                  <c:v>23</c:v>
                </c:pt>
                <c:pt idx="16">
                  <c:v>24</c:v>
                </c:pt>
                <c:pt idx="17">
                  <c:v>25</c:v>
                </c:pt>
                <c:pt idx="18">
                  <c:v>26</c:v>
                </c:pt>
                <c:pt idx="19">
                  <c:v>27</c:v>
                </c:pt>
                <c:pt idx="20">
                  <c:v>28</c:v>
                </c:pt>
                <c:pt idx="21">
                  <c:v>29</c:v>
                </c:pt>
                <c:pt idx="22">
                  <c:v>30</c:v>
                </c:pt>
                <c:pt idx="23">
                  <c:v>31</c:v>
                </c:pt>
                <c:pt idx="24">
                  <c:v>32</c:v>
                </c:pt>
                <c:pt idx="25">
                  <c:v>36</c:v>
                </c:pt>
                <c:pt idx="26">
                  <c:v>38</c:v>
                </c:pt>
                <c:pt idx="27">
                  <c:v>39</c:v>
                </c:pt>
                <c:pt idx="28">
                  <c:v>40</c:v>
                </c:pt>
                <c:pt idx="29">
                  <c:v>41</c:v>
                </c:pt>
                <c:pt idx="30">
                  <c:v>42</c:v>
                </c:pt>
                <c:pt idx="31">
                  <c:v>43</c:v>
                </c:pt>
                <c:pt idx="32">
                  <c:v>44</c:v>
                </c:pt>
                <c:pt idx="33">
                  <c:v>45</c:v>
                </c:pt>
                <c:pt idx="34">
                  <c:v>46</c:v>
                </c:pt>
                <c:pt idx="35">
                  <c:v>47</c:v>
                </c:pt>
                <c:pt idx="36">
                  <c:v>48</c:v>
                </c:pt>
                <c:pt idx="37">
                  <c:v>50</c:v>
                </c:pt>
                <c:pt idx="38">
                  <c:v>51</c:v>
                </c:pt>
              </c:numCache>
            </c:numRef>
          </c:val>
          <c:extLst>
            <c:ext xmlns:c16="http://schemas.microsoft.com/office/drawing/2014/chart" uri="{C3380CC4-5D6E-409C-BE32-E72D297353CC}">
              <c16:uniqueId val="{00000000-3F44-4C80-82EC-A7EC82F5F3F5}"/>
            </c:ext>
          </c:extLst>
        </c:ser>
        <c:ser>
          <c:idx val="1"/>
          <c:order val="1"/>
          <c:tx>
            <c:strRef>
              <c:f>Pivot_tables!$S$3</c:f>
              <c:strCache>
                <c:ptCount val="1"/>
                <c:pt idx="0">
                  <c:v>Sum of Sales</c:v>
                </c:pt>
              </c:strCache>
            </c:strRef>
          </c:tx>
          <c:spPr>
            <a:gradFill flip="none" rotWithShape="1">
              <a:gsLst>
                <a:gs pos="0">
                  <a:schemeClr val="accent6">
                    <a:lumMod val="41000"/>
                    <a:lumOff val="59000"/>
                  </a:schemeClr>
                </a:gs>
                <a:gs pos="46000">
                  <a:schemeClr val="accent6">
                    <a:lumMod val="95000"/>
                    <a:lumOff val="5000"/>
                  </a:schemeClr>
                </a:gs>
                <a:gs pos="100000">
                  <a:schemeClr val="accent6">
                    <a:lumMod val="60000"/>
                  </a:schemeClr>
                </a:gs>
              </a:gsLst>
              <a:path path="circle">
                <a:fillToRect l="50000" t="130000" r="50000" b="-30000"/>
              </a:path>
              <a:tileRect/>
            </a:gradFill>
            <a:ln>
              <a:solidFill>
                <a:srgbClr val="FFFF00"/>
              </a:solidFill>
            </a:ln>
            <a:effectLst/>
          </c:spPr>
          <c:val>
            <c:numRef>
              <c:f>Pivot_tables!$S$4:$S$42</c:f>
              <c:numCache>
                <c:formatCode>_(* #,##0_);_(* \(#,##0\);_(* "-"??_);_(@_)</c:formatCode>
                <c:ptCount val="39"/>
                <c:pt idx="0">
                  <c:v>8104.52</c:v>
                </c:pt>
                <c:pt idx="1">
                  <c:v>32573.07</c:v>
                </c:pt>
                <c:pt idx="2">
                  <c:v>5341.95</c:v>
                </c:pt>
                <c:pt idx="3">
                  <c:v>10889.25</c:v>
                </c:pt>
                <c:pt idx="4">
                  <c:v>4858.3499999999995</c:v>
                </c:pt>
                <c:pt idx="5">
                  <c:v>2364.8000000000002</c:v>
                </c:pt>
                <c:pt idx="6">
                  <c:v>73428.06</c:v>
                </c:pt>
                <c:pt idx="7">
                  <c:v>48524.369999999995</c:v>
                </c:pt>
                <c:pt idx="8">
                  <c:v>27503.5</c:v>
                </c:pt>
                <c:pt idx="9">
                  <c:v>63035.6</c:v>
                </c:pt>
                <c:pt idx="10">
                  <c:v>42211.44</c:v>
                </c:pt>
                <c:pt idx="11">
                  <c:v>42854.05</c:v>
                </c:pt>
                <c:pt idx="12">
                  <c:v>48980.51</c:v>
                </c:pt>
                <c:pt idx="13">
                  <c:v>12459.98</c:v>
                </c:pt>
                <c:pt idx="14">
                  <c:v>15722.91</c:v>
                </c:pt>
                <c:pt idx="15">
                  <c:v>26395.84</c:v>
                </c:pt>
                <c:pt idx="16">
                  <c:v>28944.21</c:v>
                </c:pt>
                <c:pt idx="17">
                  <c:v>58732.18</c:v>
                </c:pt>
                <c:pt idx="18">
                  <c:v>46466.869999999995</c:v>
                </c:pt>
                <c:pt idx="19">
                  <c:v>27303.4</c:v>
                </c:pt>
                <c:pt idx="20">
                  <c:v>22301.739999999998</c:v>
                </c:pt>
                <c:pt idx="21">
                  <c:v>71390.76999999999</c:v>
                </c:pt>
                <c:pt idx="22">
                  <c:v>39885.11</c:v>
                </c:pt>
                <c:pt idx="23">
                  <c:v>74540.19</c:v>
                </c:pt>
                <c:pt idx="24">
                  <c:v>67998.080000000002</c:v>
                </c:pt>
                <c:pt idx="25">
                  <c:v>18257.439999999999</c:v>
                </c:pt>
                <c:pt idx="26">
                  <c:v>49971.24</c:v>
                </c:pt>
                <c:pt idx="27">
                  <c:v>84499.66</c:v>
                </c:pt>
                <c:pt idx="28">
                  <c:v>15986.720000000001</c:v>
                </c:pt>
                <c:pt idx="29">
                  <c:v>30980.519999999997</c:v>
                </c:pt>
                <c:pt idx="30">
                  <c:v>34104.870000000003</c:v>
                </c:pt>
                <c:pt idx="31">
                  <c:v>32936.400000000001</c:v>
                </c:pt>
                <c:pt idx="32">
                  <c:v>4225.32</c:v>
                </c:pt>
                <c:pt idx="33">
                  <c:v>16812.07</c:v>
                </c:pt>
                <c:pt idx="34">
                  <c:v>25028.19</c:v>
                </c:pt>
                <c:pt idx="35">
                  <c:v>54305.520000000004</c:v>
                </c:pt>
                <c:pt idx="36">
                  <c:v>98060.78</c:v>
                </c:pt>
                <c:pt idx="37">
                  <c:v>7727.6099999999988</c:v>
                </c:pt>
                <c:pt idx="38">
                  <c:v>29699.42</c:v>
                </c:pt>
              </c:numCache>
            </c:numRef>
          </c:val>
          <c:extLst>
            <c:ext xmlns:c16="http://schemas.microsoft.com/office/drawing/2014/chart" uri="{C3380CC4-5D6E-409C-BE32-E72D297353CC}">
              <c16:uniqueId val="{00000001-3F44-4C80-82EC-A7EC82F5F3F5}"/>
            </c:ext>
          </c:extLst>
        </c:ser>
        <c:dLbls>
          <c:showLegendKey val="0"/>
          <c:showVal val="0"/>
          <c:showCatName val="0"/>
          <c:showSerName val="0"/>
          <c:showPercent val="0"/>
          <c:showBubbleSize val="0"/>
        </c:dLbls>
        <c:axId val="1777031136"/>
        <c:axId val="1777055616"/>
      </c:areaChart>
      <c:catAx>
        <c:axId val="1777031136"/>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1777055616"/>
        <c:crosses val="autoZero"/>
        <c:auto val="1"/>
        <c:lblAlgn val="ctr"/>
        <c:lblOffset val="100"/>
        <c:noMultiLvlLbl val="0"/>
      </c:catAx>
      <c:valAx>
        <c:axId val="17770556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1777031136"/>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b="1"/>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Pivot_tables!$D$17</c:f>
              <c:strCache>
                <c:ptCount val="1"/>
                <c:pt idx="0">
                  <c:v>Horn of Africa</c:v>
                </c:pt>
              </c:strCache>
            </c:strRef>
          </c:tx>
          <c:spPr>
            <a:solidFill>
              <a:schemeClr val="accent1"/>
            </a:solidFill>
            <a:ln>
              <a:noFill/>
            </a:ln>
            <a:effectLst/>
          </c:spPr>
          <c:invertIfNegative val="0"/>
          <c:cat>
            <c:strRef>
              <c:f>Pivot_tables!$C$18:$C$29</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Pivot_tables!$D$18:$D$29</c:f>
              <c:numCache>
                <c:formatCode>General</c:formatCode>
                <c:ptCount val="12"/>
                <c:pt idx="0">
                  <c:v>0</c:v>
                </c:pt>
                <c:pt idx="1">
                  <c:v>0</c:v>
                </c:pt>
                <c:pt idx="2">
                  <c:v>0</c:v>
                </c:pt>
                <c:pt idx="3">
                  <c:v>0</c:v>
                </c:pt>
                <c:pt idx="4">
                  <c:v>0</c:v>
                </c:pt>
                <c:pt idx="5">
                  <c:v>0</c:v>
                </c:pt>
                <c:pt idx="6">
                  <c:v>31943.269999999997</c:v>
                </c:pt>
                <c:pt idx="7">
                  <c:v>0</c:v>
                </c:pt>
                <c:pt idx="8">
                  <c:v>61532.54</c:v>
                </c:pt>
                <c:pt idx="9">
                  <c:v>0</c:v>
                </c:pt>
                <c:pt idx="10">
                  <c:v>0</c:v>
                </c:pt>
                <c:pt idx="11">
                  <c:v>0</c:v>
                </c:pt>
              </c:numCache>
            </c:numRef>
          </c:val>
          <c:extLst>
            <c:ext xmlns:c16="http://schemas.microsoft.com/office/drawing/2014/chart" uri="{C3380CC4-5D6E-409C-BE32-E72D297353CC}">
              <c16:uniqueId val="{00000000-752C-4DFD-A39C-A13DB805CA78}"/>
            </c:ext>
          </c:extLst>
        </c:ser>
        <c:ser>
          <c:idx val="1"/>
          <c:order val="1"/>
          <c:tx>
            <c:strRef>
              <c:f>Pivot_tables!$E$17</c:f>
              <c:strCache>
                <c:ptCount val="1"/>
                <c:pt idx="0">
                  <c:v>Levant</c:v>
                </c:pt>
              </c:strCache>
            </c:strRef>
          </c:tx>
          <c:spPr>
            <a:solidFill>
              <a:schemeClr val="accent2"/>
            </a:solidFill>
            <a:ln>
              <a:noFill/>
            </a:ln>
            <a:effectLst/>
          </c:spPr>
          <c:invertIfNegative val="0"/>
          <c:cat>
            <c:strRef>
              <c:f>Pivot_tables!$C$18:$C$29</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Pivot_tables!$E$18:$E$29</c:f>
              <c:numCache>
                <c:formatCode>General</c:formatCode>
                <c:ptCount val="12"/>
                <c:pt idx="0">
                  <c:v>6316.05</c:v>
                </c:pt>
                <c:pt idx="1">
                  <c:v>1449</c:v>
                </c:pt>
                <c:pt idx="2">
                  <c:v>0</c:v>
                </c:pt>
                <c:pt idx="3">
                  <c:v>107187.77</c:v>
                </c:pt>
                <c:pt idx="4">
                  <c:v>57018.810000000005</c:v>
                </c:pt>
                <c:pt idx="5">
                  <c:v>44028.3</c:v>
                </c:pt>
                <c:pt idx="6">
                  <c:v>0</c:v>
                </c:pt>
                <c:pt idx="7">
                  <c:v>0</c:v>
                </c:pt>
                <c:pt idx="8">
                  <c:v>0</c:v>
                </c:pt>
                <c:pt idx="9">
                  <c:v>0</c:v>
                </c:pt>
                <c:pt idx="10">
                  <c:v>0</c:v>
                </c:pt>
                <c:pt idx="11">
                  <c:v>0</c:v>
                </c:pt>
              </c:numCache>
            </c:numRef>
          </c:val>
          <c:extLst>
            <c:ext xmlns:c16="http://schemas.microsoft.com/office/drawing/2014/chart" uri="{C3380CC4-5D6E-409C-BE32-E72D297353CC}">
              <c16:uniqueId val="{00000001-752C-4DFD-A39C-A13DB805CA78}"/>
            </c:ext>
          </c:extLst>
        </c:ser>
        <c:ser>
          <c:idx val="2"/>
          <c:order val="2"/>
          <c:tx>
            <c:strRef>
              <c:f>Pivot_tables!$F$17</c:f>
              <c:strCache>
                <c:ptCount val="1"/>
                <c:pt idx="0">
                  <c:v>Middle East</c:v>
                </c:pt>
              </c:strCache>
            </c:strRef>
          </c:tx>
          <c:spPr>
            <a:solidFill>
              <a:schemeClr val="accent3"/>
            </a:solidFill>
            <a:ln>
              <a:noFill/>
            </a:ln>
            <a:effectLst/>
          </c:spPr>
          <c:invertIfNegative val="0"/>
          <c:cat>
            <c:strRef>
              <c:f>Pivot_tables!$C$18:$C$29</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Pivot_tables!$F$18:$F$29</c:f>
              <c:numCache>
                <c:formatCode>General</c:formatCode>
                <c:ptCount val="12"/>
                <c:pt idx="0">
                  <c:v>8104.52</c:v>
                </c:pt>
                <c:pt idx="1">
                  <c:v>14298.599999999999</c:v>
                </c:pt>
                <c:pt idx="2">
                  <c:v>2364.8000000000002</c:v>
                </c:pt>
                <c:pt idx="3">
                  <c:v>41115.82</c:v>
                </c:pt>
                <c:pt idx="4">
                  <c:v>44386.62</c:v>
                </c:pt>
                <c:pt idx="5">
                  <c:v>56329.919999999998</c:v>
                </c:pt>
                <c:pt idx="6">
                  <c:v>32470.95</c:v>
                </c:pt>
                <c:pt idx="7">
                  <c:v>46550</c:v>
                </c:pt>
                <c:pt idx="8">
                  <c:v>24293.119999999999</c:v>
                </c:pt>
                <c:pt idx="9">
                  <c:v>34104.870000000003</c:v>
                </c:pt>
                <c:pt idx="10">
                  <c:v>60036.22</c:v>
                </c:pt>
                <c:pt idx="11">
                  <c:v>911.36</c:v>
                </c:pt>
              </c:numCache>
            </c:numRef>
          </c:val>
          <c:extLst>
            <c:ext xmlns:c16="http://schemas.microsoft.com/office/drawing/2014/chart" uri="{C3380CC4-5D6E-409C-BE32-E72D297353CC}">
              <c16:uniqueId val="{00000002-752C-4DFD-A39C-A13DB805CA78}"/>
            </c:ext>
          </c:extLst>
        </c:ser>
        <c:ser>
          <c:idx val="3"/>
          <c:order val="3"/>
          <c:tx>
            <c:strRef>
              <c:f>Pivot_tables!$G$17</c:f>
              <c:strCache>
                <c:ptCount val="1"/>
                <c:pt idx="0">
                  <c:v>North Africa</c:v>
                </c:pt>
              </c:strCache>
            </c:strRef>
          </c:tx>
          <c:spPr>
            <a:solidFill>
              <a:schemeClr val="accent4"/>
            </a:solidFill>
            <a:ln>
              <a:noFill/>
            </a:ln>
            <a:effectLst/>
          </c:spPr>
          <c:invertIfNegative val="0"/>
          <c:cat>
            <c:strRef>
              <c:f>Pivot_tables!$C$18:$C$29</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Pivot_tables!$G$18:$G$29</c:f>
              <c:numCache>
                <c:formatCode>General</c:formatCode>
                <c:ptCount val="12"/>
                <c:pt idx="0">
                  <c:v>26257.02</c:v>
                </c:pt>
                <c:pt idx="1">
                  <c:v>5341.95</c:v>
                </c:pt>
                <c:pt idx="2">
                  <c:v>73428.06</c:v>
                </c:pt>
                <c:pt idx="3">
                  <c:v>32971.32</c:v>
                </c:pt>
                <c:pt idx="4">
                  <c:v>18612.02</c:v>
                </c:pt>
                <c:pt idx="5">
                  <c:v>60180.880000000005</c:v>
                </c:pt>
                <c:pt idx="6">
                  <c:v>124456.98999999999</c:v>
                </c:pt>
                <c:pt idx="7">
                  <c:v>67998.080000000002</c:v>
                </c:pt>
                <c:pt idx="8">
                  <c:v>82889.399999999994</c:v>
                </c:pt>
                <c:pt idx="9">
                  <c:v>63916.92</c:v>
                </c:pt>
                <c:pt idx="10">
                  <c:v>138395.66</c:v>
                </c:pt>
                <c:pt idx="11">
                  <c:v>36515.67</c:v>
                </c:pt>
              </c:numCache>
            </c:numRef>
          </c:val>
          <c:extLst>
            <c:ext xmlns:c16="http://schemas.microsoft.com/office/drawing/2014/chart" uri="{C3380CC4-5D6E-409C-BE32-E72D297353CC}">
              <c16:uniqueId val="{00000003-752C-4DFD-A39C-A13DB805CA78}"/>
            </c:ext>
          </c:extLst>
        </c:ser>
        <c:dLbls>
          <c:showLegendKey val="0"/>
          <c:showVal val="0"/>
          <c:showCatName val="0"/>
          <c:showSerName val="0"/>
          <c:showPercent val="0"/>
          <c:showBubbleSize val="0"/>
        </c:dLbls>
        <c:gapWidth val="219"/>
        <c:overlap val="-27"/>
        <c:axId val="176942608"/>
        <c:axId val="176941168"/>
      </c:barChart>
      <c:catAx>
        <c:axId val="176942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176941168"/>
        <c:crosses val="autoZero"/>
        <c:auto val="1"/>
        <c:lblAlgn val="ctr"/>
        <c:lblOffset val="100"/>
        <c:noMultiLvlLbl val="0"/>
      </c:catAx>
      <c:valAx>
        <c:axId val="1769411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176942608"/>
        <c:crosses val="autoZero"/>
        <c:crossBetween val="between"/>
      </c:valAx>
      <c:spPr>
        <a:noFill/>
        <a:ln>
          <a:noFill/>
        </a:ln>
        <a:effectLst/>
      </c:spPr>
    </c:plotArea>
    <c:legend>
      <c:legendPos val="t"/>
      <c:layout>
        <c:manualLayout>
          <c:xMode val="edge"/>
          <c:yMode val="edge"/>
          <c:x val="0.19742966728315078"/>
          <c:y val="0.10414911912328857"/>
          <c:w val="0.61753736665269787"/>
          <c:h val="9.1354710418601354E-2"/>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200" b="1"/>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plotSurface>
          <cx:spPr>
            <a:noFill/>
            <a:ln>
              <a:noFill/>
            </a:ln>
          </cx:spPr>
        </cx:plotSurface>
        <cx:series layoutId="regionMap" uniqueId="{B1E5FD33-C693-47F4-8959-01C538B29C58}">
          <cx:tx>
            <cx:txData>
              <cx:f>_xlchart.v5.2</cx:f>
              <cx:v>Sum of Sales</cx:v>
            </cx:txData>
          </cx:tx>
          <cx:spPr>
            <a:ln>
              <a:solidFill>
                <a:srgbClr val="00B050"/>
              </a:solidFill>
            </a:ln>
          </cx:spPr>
          <cx:dataId val="0"/>
          <cx:layoutPr>
            <cx:geography viewedRegionType="dataOnly" cultureLanguage="en-US" cultureRegion="US" attribution="Powered by Bing">
              <cx:geoCache provider="{E9337A44-BEBE-4D9F-B70C-5C5E7DAFC167}">
                <cx:binary>7HxZc9xGsvVfUfj5A137MjGeiAHQzV2iTC2WXhAURWEtbIXC9utvQqRkNtjDtn11w/Pw8cUWmmBW
nczK5WRW//N2/MdtcXfTvhhNUdp/3I6//JR0Xf2Pn3+2t8mdubFHJr1tK1t96Y5uK/Nz9eVLenv3
8+f2ZkjL+GeCMPv5Nrlpu7vxp3/9E/5afFddVLc3XVqVr91dO/16Z13R2Wc+2/vRi9vKld3yegx/
6Zefzt1wk3Y/vbgru7Sb3kz13S8/7fzKTy9+Xv+hJ0JfFLCuzn2Gd4k+IpJSzTnV9z8/vSiqMn74
mMkjpqVmUqj7T+U30S9vDLx+eDlfF3Pz+XN7Z+2Lh//+/t7O0n9/nNoquN93UC2rPH//dVs/7+L6
r3+uHsBGV08eQb9G5dBHa+T/XcR3bXrzbf8/AHp1hOCHCPGAvN6BnhwtjxURyy8tP/ib6Hvo/8B6
9mP//cUV+N+fr9EPP/796Ps3SXuTlt8g+AHoiyPMOSZM8Hv41Q76HB1xypjAWt2jT7+Jvkf/D6xn
P/rfX1yh//35Gn3/5O9HfxNP9Y90OuKII0KYkg/GDab9yOmAT1KSYaweoEdkF/uDq9mP/MNrK9wf
nq5R3xz//aifVe3nmx9o8hQfYSEkYnjX1qk40gwLIvm9qaOVrR9ex37Av723Qvzb4zXkZ6/+fshP
25vmm7H9730MpUcIIqvCiO8YOGNHWEJcFfQB8ZVrP7SK/XDfv7UC+/7hGurT138/1Bd3n27K6kea
Nz3ShBCMxG4gpfxIaU45J/gh0H7T8L0r/wML2Q/49xdXmH9/vob9wv8vgD39NN18A+B/b+JEHCmy
BEoi750H+OpHrhyrI0yokITp+49Xln5xaDX/Afn719a43z99gvqHvx/1V+ZHOnKC7zNHJfB3VB+B
ziV8TIVSaoX2oVXsB/v+rRXW9w/XUL+6/Puh/nBn7n6gV8HiiDIJeSJ6cB67sRMKJKUxJ/yR/d/X
ZvfO5eBq9mP+8NoK9Iena9Q/bP5+1K9uijvbpeXdIdfyf1egXU8/tDyj7EgwhJWgD5qH0vfRIaP6
CDFIm7D8Vr592/m94g+uZr/iH15bKf7h6Vrx1/8Fnu31TXfTftv6D4gn/IhSKpa693uwfoQ6x0eE
QDBHlN57vlWqenA1+1F/eG2F+sPTNeqv//33H7frG/c5ffHv9ubTD2UkIC8lgihITndsHfJVzhTW
GD0E+VVc+aOr2Q/+7tsrHex+uFbF9X+BKt64MrU/UgtQNShGNUMSjPuR7esjBiQQlQ+ZFEIrLu4P
LGS/Ar6/uML++/M17G9e/hecgMp1yYtr90MrZAjm4HYYxYD015/dbBaICQEFNChgfQD+2GL2w3/9
+OWVCnY+W6vh+vq/QA0/VgEYPI1i8LOqmAF5ppdQKx94aCjxHqdZB+3gP0B/v/o16PdPn8Ad/v1w
v/035Ho/jPtnSxlBmNQPFOhu3cyhnobDoPC3shky38eYvy3T7u7z1yD0YmPS9qa7s99+Y18isF8F
+//KSiP7f2mtoAUbaH6sMswnD/5PuwTvIQu+a8sX1zfQDLp5Do49Sz3UkrjvIX3Fcd1eWncr9iP2
/y3n3kj/byxnZXiPtPm9AxdCtrz52rr7w59+U/fq1ee8wL2aTz9De49CJve9Ibj8iZ0j/D3Cr964
u7HdLz9hfLQ4BqopExRDFQwJxwD2/ctP8mgh0yT0RoCjl3RJVMqq7ZJffqLwEcNAwkEOyQXiDN6x
S4CDj9CSuyOu4VUqEOXke6f0qiqmuCq/w/Tw7xelM1dVWnb2l5/AN9X3v7XsSxJMqZJLESChkyC1
RvD57c2v0IyFX8b/LxvZPKLJlD7HyHwssiE5m1mqwyRy/fXgFUU4tfN4JUs0nGOvtcePcNojnj8R
LxDsRSqCBeeIg298LN6Jeip5wmqfVQm6qsrZfUptNF7rltb3ceS+l/lHRDHGNaQdHDGhoe6B3OOx
KONFbLSDLH1aZsWbsctEUBUuChtc6AO7egIqgz4v4hR6L4gqxJddPwKVtuXYtqMufMRt6nfYSz0/
173hfjLzajuDyDeiVwZvpzjRd3awEz19Hlj8BFnYJQKbw0wqMDy+2q5NXTygNjf+HPVZdTLoIbEB
LwvHQzWnTPvUeejayqn4wGNGkN/TvH6nnWvCfiinzI9p6d5xxmPPF0NjyaYc2trcU7P/USlwjHbN
j8nFkinQ+FxCT2VB8hFS6aQKPIs690s528vay/ozzzTm7HkwyFMwJAdBGDHoEy+thF0xjctq3eAk
93OvTCNfqHHiPu3nCiBpCfogxzh9ZZxn84CVZpiPuz7id23fiS+DidrkdUNQcpVKZ9OgafrK20zR
7IpQzlhfx7kshiCOlBcHfd0lx7kuypdGy476bUxlf9zpnk/bKaF95jdZzW6f355YgUiQUMDLC+DP
wMcwAm7kMYiKMDPBQTc+cXm+FTlS2wbOnD9MZtjYLhmunpeH9wgE8kByjUAgJUuj67HAWGduUNVs
fJygY8aL3AfyOuwjF5Io/6ii9rpS/DhrrK8r9mFA4gypKCxVd1yK8jLu86CxXn/A4sEj7pgSoKAB
A8EIBrep5ErHknuIe/1k/KTl6XUN7mxjoulutrk6H1lPgqKxRfA8EmvzJUIKTkDkcszhyK8O2dwn
5Rgznfk6V9VpQlC+LQvb39O7f/iQLFIkUiAI8kgCZdUu3C7lymYkAtsp6jKgQ0eDSFhxAL99e4FQ
wECxVMEkyyoSTCMTUV8uUvoiPsW8E2GlZXFfw/6ZvUCgUxDclAYyeAl5j02n0aXxxraCk5g2N4bR
4SNuWvb5gFqeHHigkQWIwcDsL+1YvGz2kV8ZsbAV7vltqx14fJQMPD8R6azrO4ELDscUxe9tPBbo
JGbMI2GRz5JvYtzHXtgMdTG8dB2tyEuepizzHcpl9ZIa3tkTK7IpDsa5q5rTjnWxCrKx7dKAjDZV
fmplwV+bfmyKcyIKRS9iEsO7zDVTfZZEvIb4MyE8B72NMndiaVbmYdkmXe3LpGSv5ibuY38uamTC
yCXZSZy3Wh83ZeoqvweFNP5keJ+HbZyNnzqO8yxsu6Es/dm0WQwHqx7iV3Uf05NxasfivcfpJIOu
kp69KBLj5l8dbWb0NqqSmBz3ru3mzaBxe6tHz4u3bWtmFaBOZOZEpgXNwzxtkz4sJzQwv5HENGFX
kdoL295OZtvUXMXHE5vb96j2ehM6FMXd1kQ1f1U2bY42U6uUO4vmup/DvOQVDrvCRtMlq22ThAMZ
qynkKZM2ZBFO3igxO+R3PNF4601aKB+zKRqCJiOqOSadK2UYVS1zPqKNBzEcW443Ay5cHNge0xOE
LWq38VxU9FRhBvjkls+nKpcevGNj9LGaTJVv6pS5yK9z7jVbPHaJCeN6QZAXpug2k+Dx624cIeKl
ELhfTiRtRz8GSGM/qztlQRmTl/tzNvcfxqnO79qB9nYj4yzXmwpW/7btWzCCgrFfcTdh7xX8sTYJ
8ggLs2nz3ozHpB7raZPm0fw+J+mELscqS7oNHkukt3oay+3ETBmdEgtO+IyoqRt81dK8uPJ627Rb
nJM8DXmW5A1kGc77Dbe6mjZe3ZjGr4vWfFC0N5+iNOkLHxLTNL2cmjGu/Ax3nAfgucno97KdnA9Z
YHnn1ThrNt2YFudp3FZ90KYqI6FFpvnc08blviZpf5LivJjCuBFzFQy2sKfVnJQZaIKXYwDGNeFN
xDycBL2SRgZ9UxQNpBem7SCZ5JQGZTrST7yqlLeB6UGN/NF4idsmcsTFeY3zfvBlNmRng+fyT80E
YSyo5hh3fi2YLf1RNl0exJVXgSMsLQTttJLxzSQbzU5EU7B2YyaPfFJjPtrAoqoa/daMHgtjZLqX
phlLeVrTuGzPsqiZ+iteaA5HBw0lCUhOIhLETavGAGUFpqHstYy2/ZSIdBOXNRkCznNS+mSuve4l
p4qNx+XkZnnleks+CK+p66vITnH0FneWp2eNq9KzGTU9913dp01gbF8mgc1HIoJ0SETtx9YbP2SD
9WyQ92NfhdEocb+12pYfJ50Or2lSJCT2SSRVt1FDwzvf5hHPtsx2QmzqvsYiaKopn4+TvGZtkOZz
VxyTJOdVmMbYNn6LeklPVOnmzofkNLn2mimqAylLNgQzlyMkRuBKdaBUYplfuZgKf5y1dBtatuq8
qW1PfFIYXQaz68uXhS2SKmwhdS/8cTBsviLKqdxXpGGfUUYjfMzGKU22aCbx+1E1PQ4gs2w+p7ST
l6SiabWhNYLw7EadbXCprReUmarPBW7EG1hSdBllVlU+DECQyG/zwtJwLJrmJC3aHk5z1paF3/NS
XKe0ZaeeavUQClSwy7yW5eA3kTSDL8o6j8O0yPo5QGmtz0hSVO0lDBRCkpQltKWnBNXRNZMz7Lg3
NP6sY4dfemyWzalR1TQETBUWhdCfd/NxXui5Dimvh+aqj7pZnHJRszgo+aBFIMRURL4RtrlpuZrO
kcEmDViVSxz0fVK8w6PR1aYGJ3Y8pyVmflEmtNmmWlkX8MyYIKaR8DtILl/NY5rGm9rjdgiSGcKd
HxNuwsQxfKZSa+iF0J53XjYDmQEIXb8uTEPybV22ovFjMwxFMEtSDD7JcJyGmco64bcj8b7AibC/
TTDQdFPVldf6w9xQ7kuTCDi4Y9chyO7qKvalipreH8Z4yoMk96BUrEWsUYC0cdYfa8k/apZjEiRJ
r+y2kn2X+dwmXRl4sfGupt6r8gANnoeCGWTesnKw0bZhVYp9b06UC2xqWrQZsnogm47S+LcMYlZ5
xmKS4IB7VcP9thLeqzgyWofGTdV1JFKSgB9LEzCcwqVv8m5Ub/VYR1+M05kNvAZy9guotEbl03xK
y+M5qeMvVvUJO+U5Ne8mSOy0T2LLXZiMS8kj0ohKv/FipfwoattL5yJ74cHRbvw0l/WVqMUAiWTU
k7dFlHQqAIeiPsxdU7/mXlG+rXLLcJCThPCAIFI3Aa9K1Ic8EtO0YYhR9VrWWTGeYDey/HgaptY7
XgB5SUtZDWeJbXQfJqp1OXiZZrg1PStBEwI1OQRVrzagg8Zpv874TH1T9n4kOlH6pje9ApkanAnB
DnknFIoBiF4OzJf6kSdzF3RkOVY6XbTal415yWZcpqHQ+VgS36UtG/2inTy8HWsk4ysas3K89jDL
ijbAQnbyrIJnLvUnHE/Kz0o5wSkjhYinIhzl6NRpYysOrEFFaAS+drL0i0sYNuHYxKo0G5unQpjw
a773QAQ91Pb3rMZtVUN/Ok4eRsC///Nfl9/myr8Sl78/X4bIf//Xq/quvO7au7vu8qZe/+Yi7/uv
/k5vLnTPd/ZzRR/tUol/5sM/SDwRyFz/M/H0HD35lbdaXr9noTgMYAAbIZUkwAlAlg9VxD0LBc1g
GOsC/lohmGFnUNd9p6FgLGmpqojiUksgsJc8+oGGIuQI2CyBFdNaQkXN9Z+hoeDvPC7eQKakULcB
0wWVDkfr4k1oY5qCQK4Ba+m3OdPlaRqV4gDbsLAJj8iur1IYhXEDqqHGwXhVSCk6pLRuHQkJ4m3g
VQP96DlXnSQdSi+wlB7UPqIN5y6h74ohqw7UzSsWYhEPxRv8SKIVJXIlvphTU4EjYOEAhNzGM6gK
apzQkLa1OrDTpdhd7XRpv8F1BAL6RmQlihaQLRBvZGHR6C0z85tBQNljsqrxZwmcVO+Vzu9I+uGR
9T2cw8ds4h41Ar7AVoIS4X/oqrqDjNeD9BkSrSHJIAZG2tvWUdQfoNdW9MNXHLla+otQ83OhV5vL
gWyYVcR5iLwkvZjGovzogVwfp4ZdoDx3t8/v6qtdrNCE84K04kIxydSKWtB1U2E3SBrqrh8DKI3N
qZdxHAdzRKoW6hkvcoHIjdw6QoAyms3HFFUlRGFcvz2wlgXCp2sBlgcIU8X42ohsOkmJk5iFpu/B
1QsZTmP6KjIijKM+Cug8T0EV2UsOaz5VFINbr8THOBvi0EOuCZ5fzh6TBmR+Xw00eh/X2cpYlGrm
0ZB7xIQztzdQ/qEzVFmUHDDpPbYFVwmwRpoxYAyXobzHojqWd0M8tsvpsfp0bPLrorbk/C/sB1CB
gSRwicAW7wop5IRdWRLQNJzUs2V+Jhhllpzkc1QfsOK90D0StTIqFnVqFBmjIZJJEsQy0b509WUX
23zz/Kb2Ircwg8BJCw1Jze6mKIpnZsEjhfVo200lUXM+UKf+tCkoYBolA7+mEOZi2e8jyiXP+o7V
UlWQ7FB0Wpp5Ou3zwpxGztm/IIqB8SO9EMfQUtkVlYCaopLJOjSD6d6ZLPZOZmXIu9hG7Z/j3sDX
KAhtMJgLdL4CxnNtda7KmlajOpwGWR8nVdv7omjHAxpacZcgZWkXwNj119AAsWF3Q5PQI6IVrkOI
3vhOACt0YWehAyQsOh6IwJ8y0kcnz5vFUwPcFbp4mkcKc1BGGxkNdSgirN4pr+kDkSHZ+dAQEQeM
/akJLqrCnIEZcpguX2msapqR8VZY0FhUBN2om7OGddHF8zt6Ghigy8a/Wp+GsIBXFCbFqjBRz21Y
Yg+fUFvLE2BtmU8HAzBijx8gM/eoDa4+AQdFpATufW0cvBglVI/YhbNtCFSpczUEkRzr81GX01mT
CbfREdAtz+9yj94EeFwAEQhOSsjKcUgg7qg2iQtzTXkgytacQTnbhSrD7YEN7gH067U6EAKOl6gV
oEnS9GM89rBB5PpXFW/dNZpTFVb12GxZotV4YG97Qi1EWQ6ZJuQtcBt03amxcW5H0qRtmAOB4BPb
lRUEuYY3fjFAbRalDYE6rWr5TS1ZboK2c91rjYfmdaob1R9wNAuUu8EWklvAGFyapAImPHaPSNqV
uQQ2sA15QSPlj12Byw3uunzykzJufrXZZKQ/jQII3SzDGTsAxx4DA78MPhs6lgAItHp3jmhfWoKH
BOQ73UVbWnp1WAy2CwuLb1ymk9PGDd2BPT8xLwFlAExqL34PumWQ1+/IHNSA566z0MvBZbaxfVr6
OTB1wVQtU8vfa5U92eJTZYMopRj0ZGFv4MhXouqOxkpY48KhxG0RGkmiY4UifdqKjqJwaAZ2PFVR
tpkny2RAokSeqoG5M2i4NWn4/Gr27JsiULNWWMHu1y2DoSzmzhHPhp1pgQfxZPMrL4CQbniVHQgq
T44VtO0xFDxQOC1mvm7YzaWaIo+bLqxRlWzaNJNB7cXj2yiJxm08OfXb81t74n1BHoGowmAsDzJm
uTrGwusz2UbgMdpE69t8nPFWd613+ryUrwjtnBYQQyFewrg3lB4wnrBrOVkfRenMB9hWnUfn2Oo8
9au8KsLOSwk+m1jbbvIRSKNspMl2auJsI/MxPRtq1V0ZL48bf3Qxu5hVl26eX9s+BDjcPQBbgykH
6IjvLk2QovdESeEgI4rOekrH7VwVyYHscdngCgBwzEsKBCKg9bSY2KOImrrIiws+23DK0zoJkn7O
L9I5j6Owbhw5ph7KLi241JBUkXfCU629A0aMl408WQKVEvSgIZ/QK48RNzjHVdTbME5ysoFRQBhw
iErg6SvCz13RdNCiqrPMRyZKfgMb1Vd2cGajcpuHZG7xSY14diAs74WFwyDCcgUeGv0ru4hJRWRe
OjhZUZXWG1YjqBWmAXUygGCWn6AURcHQo+JsKtF8Moy8Ygec2hNHKmDqA0I11KUCMsd1/tEWinuj
XEwzw82rGtDwRT7lp04h/WX21Ag2OuMDxxw/lQpteRhqgWKC4qUU37UH4dDoxVUxhJGk71n7sqy6
SxV5YekxX1AvwEycUgHdxGQ6z+ZtX+anVH7urQ7tkPg87gITz/fXPf9jA3bPmr4Op4CrUxKGi1Yn
ARpTY4JaAT23lrqLfLDkpa1xczUzSCG8bG5fyUnWn54/fk8dHpjkcjkWciSK5DplmZpycEpUKCyt
zM6nL7ndMGitQfenPTRRsmd/EDI5hh62EDD3ssLcDKx0as5naIul7WtqsqV7UZbXedHyk6hI1cVM
GTkwYPLUwiFsUGDJgPKA+EGX/T86+JglUdkoADVVgGJCyuwsnq09KaaaAzdbqvQkgtkU6hfaTS87
Us+nzwP8NHiBXBhDwBBYKLAUq5wwrgXPujydQ9S6KEigUj6PZGU/DG1BDoh66kqXr7gQgoAqAeE1
iVZn9ZKPzRM0Ynj0GdqT6bvS0Q/P7+epEBgdX+Za4OIvTKjplRbraFLZ1KEpnGaM77wqobfQKskP
pFdPzRKkQAGAgHhfrvotq3iktmFK2hEn2RRi1xanwrIaOhI4BXdtCxok6aTVn45DS3CELhpc9GQE
ruevJKp5qhzqpjCC284ntG28SzL0/IC324ce+Jyl0oL5KsinV1JQ3DpaQ4+We/kY4ow3wZyZfPvn
dQRpOtYCAxtFltvwj9GDFmA6jKmdwgJD2mJsJs5dFo8HzG2PjjAEDgTuY+Fj5Opo5Q71QKwpyBHJ
SE6rqhGnMMrX/MpYkoQYLnocwO7pSYLRFKCigVxkCyu+ypXG3GUGBm5caFTqndHM87TfsqKUvhnH
Q5Fx3+YUgxlP0BJk2mpl5rbogHC2ngu9qEvCDKapMhR/QSi7AuspD1j7HquAkgqKiMVJPZ21xLGC
nuCkurBpGw3lUseCLmncyfNWsQe/5SzB9XEC9w9g9mbXKirXAzvpQUstY/GdiVIGeQ790IE3Ov4r
gqA++3qjCob6dgV5rm0prqkLe9eUvzZDGQcDMF0XMJh3wBnt2xJcv6ZiCeEwarfigDxl+lRFyIVI
4/qKVpxuPOnV12M90gM6+krM7+ZvC639uyyyu6uZQZdfSai4m1rGF30LUxwBlXM6BuD/ote0s73Y
Gg9jG/S6nUvIoOqxg/kgCTkfnWylAxlRY2GCpoJ29zSQrguQk+l5N3bzr2PZjuWbwSvru5b3hPhT
biYZmhna0+Hz+vnKtqy3sszGwcwlZEFyPRzntUmWQO8Xup9TjDZJQu2lg77ybxN8UdOGa6M3Moq8
zIfBAe+C2DQ6mSSr/4I5LoBCZ1UBebaeN3MT1LMTafuwYrg5jgmkuTUS7hjYI35A1J7DvKR5kOio
xbs/GaDr6ooL8OZhUzT5ZUkpi4Ip9uqLlsAQQg09fnHAV+2VCB0FDhUrAqNZGQsvpWB93vUhA9bk
NKXCnbQ6ZoUfuwhfwjxvcvW8Tve4EGhSI2jvQI4E7bqVy8ezVaDwaQgTXVWh0lMF8wgiO2A5e7bF
IGqByr7mAHr5/FFY7goWTf3AhhBmZVGYDYU7a/KsPZlR2r7y7OwOyNtnqeD0FQf2FSoivk5pTEYy
QapuDONp6GHIq3HbOSblts+y6s3UFN6NoUPmhQo6iK9TmMf7pBzkQIfO/uIaVwcGUjig6CEaAOvE
F/Qf7TuOK1HQeBpDJDoMI2J5eeoBpR4HlCXuYmRF8oqWqj+fYL4gqEQFMyLZiILBmxlwtq6+KohB
QEBOzJ9VZbbJYJNg6uMqLCI4in7ZQJtqVsQdCNF7/OPSjkLQuEUKhpBXLn+C8gXllTeEtZpS5JfC
G0+0GfBVWQ7D7Z+3QLB4ONIaRviRWpm8HmIPIWMAo6SNNklVN34z8nj7F6TAYVbQ60OCrVnIwdNq
JnU5ApFcRyeFzaqzWvfJIbtbwvsThcOcPiSC0EKHC5G7Cp/KZECQhgwhNrH4PMCAsgvMnOgNySOh
T5GJtQsI8Lpvp8iUZQDeFr3sLSpO4WbIFzRIc8IhK9lOMo+vOOur3p+A5DgZMerfPY/I3qVCtg95
CgyY83WFM6acjUUFuAPHMZ9OdWouirjNgniOouOhINZ3uGafnhe617DgUgBcoQDeCi+DCY8PRKMJ
h5HXagxNl79vnSIBQs3gx3o2m+clLUfriSYeSVq5HAsEZ7bMCYZlX7Yw7JoVl8lcDAeIkP37YVAH
c0GVWEdE14k4AiZuDCulYrgb4BBMl3YznEyis0PFzd4twXeXAPMBjWK9PpVZHrnGG8Cp5UMOF00q
VPutRfWBLe2TstCm8CVMC1u/zmAbOULA4HYM2TC4DZ4S5+f1OB0IdPuAeyxlFXdyjGyDaQ2GALXc
tat4H3YwN/yO1dEwHXDDe1hpxpaLVRiMTgN2q1M5wLwxyuJuADNwQxgzBbc2vNIOZ31s1Puh1fhs
pKr9DWakircE5ocvos6l53AJQ4lDHmJJLdd2CY0zsH+FoAkpVnbZC0jlPWaHEC54FODpx3RjUPJ+
xLI9TkT5padpWLo0Pks7O/tiTOPtpNID6O/VMXBFMA4JybZc7q89PoaZixI0zuMQtrqpT3gPg7hV
Y82BKIIX173eK7S1sFiSNSDFV7jLmqlKVgC5bWN5Pps4f51D/voSYq1VcLNEdGepjeUmm/Lyk6c6
E0RYqt9gsLG5mXpghA4Ywj6je7yeVdrP6lwObByGUEVq9l0LAEA7o95URPyVswpfZCbh6yGgbIIr
gbsI5zmkJdAJgUAw0c4fIjaFBmZWDzi55ZSsAV6+wAtqP6g4uaa7Ulq4tNPzIRnCDHJ256ezyZk/
LK2n1wzlpgx7XdQXaLJAVNEog6nNP+9koc1DgASGBBJCya58aNnGco75EMJ4vDlr+qwN6ty0vz4v
ZX3zjULSC1wvtCDI8t0DbN3IIU2Su04B8dHSKbkpCIe5Vzk7783Ua36Oq9GaYMx6+xK+KTa55bke
Ez/uYTbmdIareu8HYlnjc97W3rGtR3FtvEJkB6DYF04B2GWqQAIxTldQNHmDxrxHA7AaiJ6YGE0+
Gjp5NStlTkTFK58xw988j8ziLNb6X5JLtlBDGO4T7eIfxy4luQHHNlVFukkTe+W8Kguc4B9w5x1I
GPY5DfiaExgFgzQKWkIrz0UqJ+BiKZwZaBqTM9qoDsa1ufsL4QdmFhUFYl/CpNtyhh+lzD3OuTQp
4EhHsYm70lzNXd9eP4/bvnMjBVn6Z9Byh6v8u0JSNhWQZ0OPoOnQvFyeMN4mHvICePy2+xh5TG+y
iMJlNzTgA/vbpzL4ugbg2KSGZumaoYQuHVzehEGhkMZwuzCBqzhnTQ1XKzZG5DjxDTL52+c3u1dv
8IWiAshJGLda3xttKuJ6WNEYDgPMWnOas9Dr02z7vJR9vhV2BON0HIgvIERXkCYtUUOKxzCKDH5J
7ajPoB/TnaIuHw8ctX3agxuwDKZbgSyCKdNdUUXLhAfXpKZQxXR4mcOttLeR7MqTsY29jQG9n8Ze
OvwGFwzoX4ASyFeYuYYJOc3Z6gjACLUFitaDrIWO6bu0qv+HvTNprhvHsvB/6XWjgvOwJfkGzZIl
2ZY3CNtKYwYHkATJX9/nvcyqslUuO6rXtcnISCnFN5DAveee8yGujUHG69cf5c++MCgbUKbQD+Vo
QX98f5uWmZh1jOXOIY1hSm/iykdt+f9ZvYscFmBwLvC1lafX8d2j1mErtohrL81WLuGu9OV6yNau
b379bn62MGJyiXISNh58aG8+s57hjoQNfWnShPqbSVDNd34KocEG5ZA1w2pIQwPk83592Z9KAMhL
g9GBXRjz/zd3SWdHNgYhKkw/JYGvUtvn93Rc3TNWx+xIkcm5cPCBHrZWzne+5PZeb/2fwOd/O5r7
aeVZolCBugI9BzLLjx8x3PhILS54KrSn0V6H5XyYs6D7LB0Vh3WzSNVEW/yCbsHViwZHrmJyTO+Z
lttvap+f3VTfv5I3S560GULZfENZn3XTVWh5tJfl0P9mXv6Tq8A4js0BygFE/rcFQdqNCRNpiyJ7
mxWvEFrckCTSXfibb/cn10Hlihoayj5qg7fT386EUWfcGDYpd+Z6ke18GDDn+c1n9pNbF5PeCNMx
bK+Yj73Zi2yAvGMa87BJCjJg0czWr8Yoexhg0sEkkKW8imB6OPz6zi1xT7zZ1HG7gvSTAzmW/kvs
WUa8t4zrsPE9jx4mlfM9yBELQigIs010HS43ufR1QPlab6rrgt+865+s5PDKQHuEs/3kG3rzrgc+
cMUZC5sSqZN7g3Zol9thfcw9+fbrd/rTK0EaQ+GIWRBumB+fjqIMN6aLDb4gh1hVj0jtblM9eQzi
8Xd7xk9uGNhlCmxN2AQLWBd/vJQ4RZGoKMJmhcesWvLM11HLafPrN3Ray95+dejf4LIAwRjuzzcP
WTGkyBghKY0oZQ47U5k5/iFwg94OwTQrdsOsVfY3u+FPTDqolr676Ol++m4Zz5Tj2ViKqJm0mtCs
c44UcBKNu02UdK5bk9hDPHmzS0iO0OBWLOGhpFnyPhLkqqDjrhVFX7OEua+//jR++plD98WnEQXo
dt9Up1M8wekF2bVB/91frQaJIjTc43++5CDcHpxMfais0Wr9+Pad9jlGHVHY6OXkKVSa7QSMI7/5
lP/02fz43aKoh9UFnQ5m8mi2frxOkE++JI5NqBG33B/zdes/bnFUJeH2Eq+2VroY1CGdC0zh7NLz
pzbvWtW4kJewGU/U3jJiwxnBbRqT47CFY/qEgBZhd1jp7M0ybcyjJ50TBBaRrAoue1PysVqLpcgu
WBzJbi+GIWdNxpjo9q3qy0906cRQmYG2aTWSNb1SlC/rcdumFbLB6CJ2bThf4W0ssc9XoIAQgV8n
qzoYCstWk2MRQ7J0WOBQCSQa9iZEfA4mGhciKToUrtyFXoutCm2ii125Una9pt327NtNQrezG66P
HCiACcWceIYg60DHS+WBza8FMhzIFiJiSPFX2lFXEb4rCL2T8qxaJ2qipi9V+zIM2xQdbRoLu3ch
hLuaIw2X74YZbp7KRa4rDjpcFcfMpz3FXLiPs8PsZX6QOSn1JdJ1bj0qODp7WBsxELtysdMMATbP
gPBIuuyRLsjPNMkyelK1BQK4dQutXdWtE6l6jplY0mdVuO0hShHhg/q+II2Hpg5Zcj4JaFIoOfOl
EiISHyLIGUgbxXN/0/ak+5imLkaSNx8uO8R1aeVD0bW19jx+tBBHFAz0a08uyYxarCrdtB27hKZh
JdlarhWG7UVepyyW85WOJpYjn+7cO+SMk7EJCwVBnI0YWx/0lClZG0rza5nlQ1kldIuWgxNL8CFi
Rq7ViBjkrWArB7+CYx+5gLQk4zofIxfV2cJ1f90jsxTtkdocgCOIp/6qjCkMfIrrjTdgK7RBHdI5
749zEXTTXZRb8p528/xxWBUijPkpl39VTDb7goA0+5wV1t8Noe2uCrMZDLkDH1XoooJsr2bpn4IE
0dhKJoO/zNsCERKYeMKxDlk7jiV8tmZB9LBgxW0wupIcvSjZ8jIVxZhWco3irfLjOBP8UxvZ6DmI
vy02IbwiQSwPMxnIt1ZA1AHsCIGYve8t7tjA6vUdFmJd7ja7mQ+psZpUlkGOqSE58k9SdsVFLIT5
o3WDuPfhMss7yvLkAxgWcoSnBySnynPOgwZESjrgjjGwAptyjPvas1NC3uSrGyqdruKDnYHlgR/D
0/Z+iTaimmLCjKlGLnN4TXPetpXS1nYVzbv50yi47479WBi1yyVLP3Ci/XwAfxQpdQyq4jvFlzLF
KHXhew7DDtmNiCe7iicrHsrZGjPtElV2wS4fcs3qiGzlnWKaFBWheCEizVNWaXxpuiLlGr4OaKNu
bRnPX9gQEFJHHhCMKi1U8kEgLsCqIu82j1tACtUscLoMO5ixwuKiJGoMGsSYUSzakmRx7dwm7iM8
ywjXMxhf6pkiy1AXdLGkCqW2F2UikqQSnY0x8BqmDqp4Fo280gtysMjmSu0eJhJhRL1wMSVNHyjb
Nb5IZ3mTRcSntdiGMqsKwocJr38eWNW7mA8N2iL7MfKBK6tpNq08rOWApxMcnwKgHDdTdRx8Ng1V
HwmQfCD7I6YiLOLcDZQz+7AsRfpIuO+jfa+3wWCUnvmw2rgSHhFk19uKwuS7YsGB/FEhBkAewrRV
/rBkw8pOw7ZsuzSzs6FsTO9LmIqn1OVGVWQhNHRf4MOzC3kIiN+yrRqDWBD93C6qyATeP40wvPtf
2yPIV8CG1cxO2Fuoa+VjiqXoKY0GAsGuL90uE5m+lL0Gsin0AgsL6esBpI7nlYcSPy7d8JxT2+GO
0i2xv6k//8VxWsBRgtkVrEYYAcCm86b/ZHBPznYpk0Zm7BEfl4GFiq6VGgKkgGeKotcOfRNT9Ypd
SdWTJHndwvFblQkWm25yz+c64r9h4P8JT8rTPwz2p7DxDxS6Hw4BOKV/z7//Z/o3Sv8GM2mIug9C
SJnjX/+e/i3/hv+Ir+3k9ceP0EL8I/0Lgi4OOoEFD2NWtManhuav8G944ojiVCWoGxiSnH76n4R/
39TBENZOlkn0EAGyANm/2PAAPzOOD5uqlhncknJ0y7QrLBH3eciGx3zIlvvvPpf7P8uw72OqbzoJ
nAWF5CjaQdhRYRWFzevH4ix1NlUZOAAVCEDA54QJaVxEvmANoPtfXyk6CxbfF4Ih5l8n0jbKwRN3
7m1PHwAcIYsRrfrWrRELd7rLME557MqYxKup437GYJdD3wnDHUMMTGJjLUygBh3uzZBtsxaV4PB2
hhh3SHZcEY0o6jz07jV2yYKCnWzsmNk2yK91Fne3OcHOQImH6o0ovnqEFp6SvS6WGP7eCQ6D6xKA
l/6C6xJwCB52E3g1xITt1yUEuG6PfjxnhyzHogSuV7C0/RHkZozYrQwdQhpKUQRQkmIFt8EUJrml
+WTcfZuByLAbCWqaG9mx5evUCXc1iK3LPxu5tMlNsbH8nqWC3nRrLr7qRc8CzIwQ5pgURRuUJZqX
W5LVSjKHHX0rlW7vtAzoTbstKi4rkStXVHwc8VkitYZu26B6WtviOjX5ENfExTBbh5xk3INok/X4
YHB7f2VsDvWLJRzkrMETI/urZYUZHttXFkdtXdLVhFcF74HjqdKlLVxQAWmxZXDSRJlLV1S7NNni
3RYWFrQXDMKV7KpRFErIpp+61n/sufT9DWh51j4VHsiQDNSSNJ3LSvbBHLzP/aLcWndRvABDloM0
UZaof1O/jXvk9E4EjmwhdkANT0nM471rsWnEO4WOcEsuJQg5XX43jn1m3IMAJC/XTQfxEdijwFOD
ytckyamObnmab/f52IcgS4lRxrm526Z8Ct5RB+bDByZLubnd2sFp1nQb8e6ztmBslHjyinV9wBuA
9RdGeTel6FNM4gZgLDoOWGLdBxyoSwAm0rV/l8eTM/dGkOSOjilxKMaBSmpAlBw+YLvHTdTPJ0RU
N0QtwX4cZLaJxVSiVjsjpbIzXmo7o6ZmNaxFjbEmZXvYGoavm+zcthu7Sc6HLQCs5/00GMS+Kvy1
YIbPYR4ndkeWQKBij+COQMU9l20D67Xl4FQVk2qmMy4rs37EOAVQj/JAy1QcY+820wRn0JY1RXyX
q9nh2/wTxZWJKX71Yeq7S+9M2t6GZ4yXPiO9xDrzeK66YMUmFiQbXx4lLHnuSHvEhG7RBsSyivBU
RLcZQYKNVQv3WbpLipRGjcqUCo5y7ea2EizPuj+CVifqmLZowK5cljNfI/A1fHHThDi7SgVMXWOX
BJcdETPtUD9GcDheQlDS47Rzg3JDWBW0hBV3T5eRZGbfpkua1SPwUvPhlGhlCF3wLjw4F6y2GieY
WqqYr90xWl2WVCtkPlT2Aha9Ci1AOoFQRBC5C9LeATgyT7AXDTK1RxR4WbDHhGUxVSd8GexiMqry
HpVl6Y7dZPyTCsE6u6F4kItD2kdT+MjAOAncDhTRRL5vW7pkR2g1qKnhaLJpL19QBxJN6q4M5/EG
zQHoc5g0E3FcnUxJMyURquEgE0FWx5LDSmelDPgFiQrdHwZP+asF+3IDGic1SHRo1QPEVnJ2u7JB
AxXUBtujCPXM92nWEfCACttfqW1BbtFvPp13s5ngJYiwIZhGhWJaHnFXemTqOaikz55Ei1+qcNRM
qCpBanW2L1FedEYdhg71y/ayYp4QvqM83Aq0+uBKtp+4ndcoegmJZSXuSy/xNDuGga6ww0kACKI2
27XjVkz+lfXWur5A00lp677MfUpFDMMXoDmJf10i6JX9f+sjHOF5rndOqv2/r4++Pw7sH7/+Z3mU
FH/DfA+x03NthFg5iqA/4Shx8TeUtKcTTHD8ElKgKBX+iejFjAL10d9/CInn72wUHGoCYRs5mxRy
c44R6H9UHp1npd/VEKjJQJnEVnQ6PKKAS+mNNJaPWA7oHNim50Rs9TC47MiA0ovrzY4XnAp9pGA+
lA3LewhC3TJ4fkw3JvlzXvp5wUOF+/khD3ujnqBXwQPeFnboDogpxICdubZLgcZzY3drxqCU+9yu
jB0C7xa2L3vBs0uOJyS/zDb0VlmFdSfuP029SdA5t10HbBWREFbAMiTJe4xLndOVLdiYVGNmwuIA
eFn4EiyGQkGBo3/bI30YZEAXeU1vJjYlfjeUke8bPLbwVHeTDoJqUk7eF4NDATSI3kKkAGhD71g3
TOszN/ilii7bllUgUbX4nVWPbFfGnn6TqDL7HSrNqT3MwTpmCchbUEZu0gmh4Yd+7JbkOaIJgm9r
348gYmWtaEnQ4AAu7y9TBrG8Ml2WJ7WMbAoA5LTOAE9MOcsP5bqGTyIG86OaeQ58UgTiyC3ZrO13
dFITr+Jl5QVeM1/vnF6fNRBsYG4pKz8X3TLfhVLOK1w7KkaydhxiXxc5aV8x7yJX2iUSRMmty9o6
jGcwTiiOgBRNb1tsrUWWz10NvGnI967PUhArOyHR2IVbm3QHxuGk3nm80ecE4KutiuCeu5m1idyF
kkqNu64gE/umTT5FT2MXANcVj0VX1CiG6LLrC5P3FcKDAp16n1tQomg533gWJ2qfjsmwVgsDnq6C
kwCFuioNLp1YFvOddkPQ1wtDtvAiHS17HthCttPCHpsd5MhtqzoKHGBNiKPveD4GKCaQoZx3RamL
V6qAp97FsrMSRWs88ut+jew7LscNtVIf0z8WlCbvzUqHcddPZNyOsixX9LlmAVsqUaRFogx7AMdP
ixcWnPhXegjMgdoiGy5Lki/5IWMAGTeYb0MwWOdFyb1VBS5g4sHvBQSvrbEgAQObspA+QMvaYQA2
hZvGLdbDbb9HRrh4h8ouv4mXDqPPso3MWsesS3g1rbKdKpC8HDpew/Wd5qvMQF/u+xeULgiUhHZF
7DBNFDJvMjX9eFjysdhOWjrcOA4jv/xmxdxjbVpaDOaiM3P3GVPCVNZxyMZvhUC8pgF7cOngEnX0
QzauOa1Q2HfPG08hXwAvGpJaz6O/lXIoQbcMNeZqbk3oTYL8RwrzMlW8RiGcRlWHiBWtMJEqABKL
VihWCgS3z2XIJg6xb/F51c6tOD3umXsMiB7kztMhKRs94ibbz9EI1oyMsXrc+Mm7GWIqhSZkgKvr
a5m1yXMp88jtYhCBAeeEe2yoJhebeD84UqA+8+vylUKRYQ0fUu/g5E3Ge5BOxy8qNOVrl/T5Csvn
7G9QXY8jPl0FbQRR6bCt0nmLPigJGaxiKlqBU8y79SUTfZ5WGOhnuKl5lt3rgIOm6DOag9u5lRRr
Ydo5KJhAnU+1RH4kvLB4Z12dDRIBs9TwXuw18UGyh/AHJ1CZdKZEHTdutwKivqwF5My4Ais6GKsY
AqRt0ogTSNRJNpijaVH1VC3W8q8J4ram7kMUXbWgs5Z12TNweNrOGXzwrIQ4PWP1uNUJ8Ky1jiP0
n4IIs2c8i770qWm3Chn4+GPewmNQFdC9r1afDnG12d69S2hOSAXsMnAEKUgEbRMbLIU18rURcN2I
mL3TkchAPizGdy5wYBexWPjhACV7xFuNcqor5CK24wRbKvTVQIMBgn6/AHUPeGuONs/Qj2nEWlpZ
fGoAMqgYXM8kbh2r9Zjgnou9IhdRscV1L7Z5F0l+h0loI6ADZSHloooFf+5WEV/kugP/PJK3scjn
a3xdbIeI34NKmb/juWyY6jSopUy9W7LkSsu+v1eFfacTJ+6AWQA/mly1A3+kI26CQURX4wrOpu83
RJpJUmfFfB+v6c4GPbwkKYRAz0DRrbH+t0fD464DTgVj0q7vH2jaXiZDcMHZhrmbM4JVsXuPPU7h
BdB3uS3kM7yH79HHil2AF5EFILcO0/TKguUQAjUD6PsFuKp55UAV94xmdyGM0KpMv6CwfMpRi9fD
vOIboVF3nLMNj2yobrZe0r1y5CA2+aXN1DP0wKkm03jZw3X2RxfCy43F5GbMCwKTqYMYCY+w/Igx
+VJlfF7rcXbsIvPAEuAvhCCAAha8FpzVVAaxhv0b93sF5E5/5EN8q3wUVkOc1SZIrrDtYZVro2Y2
LLqL1rnYx8JktMKshO2SOWUNjZbiobRZhKGQAkkQrXS9pMHnPN9UvWJyJiu0pXsGQCz17eU4A1YZ
z6JK3HqnhXnQo7oGg3uEBD+k6nUa0hsQI+XVxszykFvsKFm/qAZ/6B5e1ls5ienJzG0GA/xKjskq
n/0g7A2+9hkyc5tdU4VRBMdadCgsYxVBAX+nguSB21Ic5jRb00OphkNkSX4kiXruDdiDNMfOKzQX
jZLTVZTQJyRwymOfqBta0uTRzXMPGcGED+EUFbVP44cFkbjKFN5+grCKa5u+uKcE28mWBWttR2zV
Jhpux6IcdK1KEbsmtXZ8nH1nv6X52l7DvBoe1MzBeZ+C7GYkS3sXDO41kiy+6KHVtitQtRWYwUaf
9I6y5kv/B/wedw7cO7mzMPwdAxzv8Jh1Hs3fEujKOHCd13IS98hVzkCYAmNw2/Y8bzpuFHbXEYJ5
Ify96krVxJw/DQtGyN0IKRqlal1m0bATovtAJ7TM2rOvWo+fwE1GSZNlafJIWNA+wR4V72mv4tc8
pM8yMNszGG6qgrkP9csWVfqUivGJmHfQag7xXPZ1z7U6si7+pFFKgNqQvE5E1WD7QU4Psh3mMuQx
lxq73qwzBMCKCXo/ve5ASL9YEH/teI6aVbTXqvfprd6sqSGM3LhwwNMMjUEechXHAGyXF0RlsNZh
72qtRfKAdIizIEUOj5Pew62s76eMRa9prN9Rv31ENuabmMj8QIhfn6JUyU8MUgidLngqMecVKUZa
ePPg+B76FjThC9kG6dTusKBGYY/H2dIvNFi74B6Z11ndROE0F6wuYExLv/UMShTGB0qA2+VpjyGl
mRKM34YRouNlZAY/x3XCYaT9RnsS6bxSdPDjLkepAGYsGlJp7W0/FHDA7tFowmpXKUVc+3VGcrwT
6AtX8GHhOsfxC+o23cgUUwwWhTGXIGNOoE8j5BNidF0U3qgH0GvH/jEWC/DBqTEs9zv4v7CtXWbr
BtvegRvehsnTgMhg1N0XmYHv9Jq1IrD2vkAbXbj7GZ44JT/TfmC9aRwoct+CkufCVLBj4yU5QE8/
JcCNVz2HFlVHwN30DQa42XJAzDh7J0sMPA2mWnqfdYXHRp7NsNXfDkSS+FnaovsI/wgmUBY81+BD
J3hC7O7cyv1X9f8fiPa/6mr/cUryP8+eOf8ffza2OJP8bET6q5nFFCCAARwON0QJTnyQf3azOKYT
GZEI5mD8D/DfQaT/q5s9Hb8NHwy8mvD5oOFNwv+kmwX3Aur6990s6AQnPgq6ahjdTmdm/ai+D+Nc
tMyosF4ygSSohNXlVWPeyGvkvNVNQHCT56AZvJi8XQ8kXwfZTKsin3IEmIudlqx9nTAX9sD4a/0s
Rk+/4BbOk2ZAfOEeA28FT4UldGuMNfYTOxVqEaBtkJIUUddgiCm7ZwDdY1F34bRhUd6WoZLDXFj8
TQlCGctCgNGCkvpvIGimz1aX8kkC0PFE7XyK0m0kf2wxSlaokZPuGlNW/2TWUdySeVrHRs6CXU9D
OGZ7PQAV3KAXpU0IvXKocBbI8HGMUS/UYzmUtsnSid1yt+WAceNch+dphkGmwXzPLoetm7ruKpwX
uisB07YVnzROTyjSqUNPuXr1AnvHq/YDOPf92u7wHWLNR/AH28dsAqxcSV8yVUc4DeZTsq3xTZ4t
7QfY1G51iqN3diSRIWReqtZ9EU851sFpZPuIt5gWFGMfYWgYKVTNyPiGVZKuc1a7JYAkqWcb72O0
Op9SHcCMYvW8llUxwUpeQdOKCXTGAhiFkFkJZ8JI+s+YxfctUIclWOU81P5xBo/61rk0uIsDLBZ4
cyv2SN0iDVUnI0jADV/DgB5y59N3wtn1U1GAAX2AhgZUMeUbxu84UsLvDGj/cPGzid2D0JPBeQAp
WQLa3Pmg6fOYvyywF2EnzxwaIrrAvVoji9GSus1Nf5xQCHzV7awOAXqEfr+WofpmMHh9FRyF6OUG
FQJcZ0uyP/B5YZWEBBvQquwxi6jz1VzEEbT7qisn82VYXUf2GQY5QN0s6FLBaoYQuB9EwiWGpCUa
MBwSMDwIB79nNULwSwGmL+hTEG/9tzZuE1snM0rIWqXKPSXdZh51rqUGngVrP8gxXX85bGnxcUEz
kByYm4Lh+N/l9C+R8OSh//ci4fdne59FwtOv/0VQLv8GpgyM1meODXgX/xAJT0mKv1RBEJOR7Dux
AHH+LsbhJ0zpX+sojsDOcPgU4vDI5CGjgoXx74eS/TWz/NXBXees9XfLKDxlON73dOYMNEtYpd8O
McWYC2lkkWJVKeAnKkEvUHvCRAB46bKG97PYyHgxzwV8RwQDeohN04I6bMW5C7YhHU7YghMh7r51
hHpUe6SjtzLCxL7qzQRd4bTZS0wMwhKNd0fTr4Ubsc/HbEYom5ZwGl2lyuDkCZiq4ZSw8/w+WHsO
R0bXwlyUD5FNmqTs/FSBXh48jCPhH+22YcZQ8OLUScAFiOMnNoahW9J2kTqG4ZBqkJBajprSDcuL
MWU4NNEyxBAncPbJWom+H8J9mpJM78YxbKd91Mr0MuWFpAfTp0lU+6nbMCSBIyOqk9WFalfiEUIm
OtVC7QEgF/FT2ar5ahkVGjhUWrBSge0BdQpmKDyvI+ux1oHGvx03g+oJzqmTIStvaYTjUE4+rfls
2TqdtoDuCUau7+64n4ynf5KEg9wLVtkp4owB+1satqahDiYJ04enZWeP8wRBpaLeGH/MqM4eJFZI
CIPENGPE89vABSPOHdAiy6rQ58URf9j+ZmT+ZkYPAw/U7NOxPTkgniDIvRmZh7pjhvuygPUFprGQ
ZAix9r44Sr6Ml1FPi98Mzn9yPRx2lMORgCr0dEDYj0WCp8Gso63H9Ra37adxEC+0wJ5kxtZ9DSM5
/MbGcnr93z9N6BROwvc5aozLvUUpTB2OiUJwrWg0w1tThPnLpPWypkgg/OatvTW6ni+FZQSmbcRL
kcT68a0B0eHAjouLhqyy2Fk0il+F77bfsSP/5TJYfjB/wD8xkYLl9fQJf2f0FZh6wk4r8oZhXLZj
fIM1kW159et79U9Y4XefXBKd7D+IbIAIgcvhDvnxOsoviRebB0yGUjeXu2wBaq0JmY9XgPZG0T9P
kQ7SF40jYcjB5pH4hoog6nZU9m1Bawvt73TuQIJTjXBSk1qWu8VjXoCD83xCX4CRETgfJWpxRkEl
sw7ngKwRKLKVBO3FHqGtkz9KmfXmpmQxmY/TsmUfEk/GdbeNE24ghUUSYpBFFMdVdnAmrLcxneIa
ZJDNvPAwQbVU83JbzR6pQYblDpr/IPcwaOhHHxOsEciUKdtIHXXlQThHkwcLXC4KVo9UDvQWyEsn
+vXMhquMThhBYCAyER1VkBrmIq2pAci7rQPD0/VSUbKkNVMZWmBiMXnd29C00PttNpvbcDMWRyRl
k7Q4vMGpnF5N7WJwJyJMEOxYEI5yP+ei0xZtll/ptZkxId2l/bzpW+qDLnvOQMGd68KOMv2CIbHV
O8hLCK/wwjl7BTI5/Qg1A6jLcmvF9HGBNR0D90A/pEqJZasQthbj/YZpjnwPW7EcHmJYDeenoMTh
FcdCqFbcbDDizZXT1sAXQDsP5bWRKVIC+wSnO01HeDTm/npTi1TvmVgT+a6Pxr7DbHPg4nabLImu
kEyY1i+YbVm8lBG+4Lt5yuja9KYY+B5XxNEvULsBnMWJhemXVWl94wkgHRWfu3Su0GC67pUyDfh0
JXEW13RMcWYU5NEsdFkKGWcg5JlMusyfFZ64thZiKvS+xUlgyS4ZYjM+Oz61yeO8hXx5r6VgdudY
sSwHbzT4ObAXr/Od7jeLYxBn2mv6EaVZnF2C6QSrRgYp2n7Cd8GZxikCHoYlVJvpHH2O2JST8QBF
z/RfWaFzjyMCmfOqtmc7MYYqMKrSWITR6YCh9HEENoPAx+hxVA3khdlenZCzkJ/hS4RZ+WxchoKe
H9zZztydrc3dclJpR3y5xcGd7c8jIXG+G8+26MHiXKZ9f7ZLQyBqX9YI92SznQ3V01iCbxHAnKkr
7RilOIcKhg88VicTSX42ZsOcPjM4ltKt3CUBUnJVRov1GfRSdh2cLd5LnMLurfFWyx0OxYLjNPXJ
cLGdzeGgq2EmSYDqHuoJ+gNvDEQedcBZKzCWi7PJ3J4N51kHSPl1nOBwqj0CIPN65FGXXslRRPZg
T9710wlP3Z6fLe0kOtnb+17k2UVmUINXiPee5Bf0oqdzcwg5qYdwyUdqLtkdnCJD+sQ5Dr05tjF4
YnWoAnvr5hREb3u23Q+GsqfkbMZnPcHmUmCfgcIWTjI22w3IpZ2GR2wrY7Og98vw5VYWGHJc5zQJ
4wK95O1CpNkqs0CaLo8L9g2sQMnGBlTo05xFDMjrOII/cmomqzWDJUv0riH51pnkILylOFDg14vz
27BHApA9hs8w6QEAAXtmiYr1+z0AS8hoZ0XB61nkhAqwyBRNbgHO6tVu6vKye78Y2E8vIuhh4hAQ
Fn2Cu6wtr23bz+N1r5DbAlsK4dcarexa3nIJX+7zr1/lm60X7Rim66AnIj+E4hhJ3h9fpLWUIdgq
efN/7J3JctxIlrXfpfZIwzwsfyAQEQzO4iBKGxhFJTE5JseMp+8Poaz+yVAWadnrsjbrRaYqXUAA
juv3nvOdZMQciQSu2HBYHn1j0ZRPPr2nDrvjWgYYqOOHniL85GNFNVmzMTjJRpVDuTUEGZYpHasN
QhPrcba89Ett1BH/TI+vIldRw2ryokDmSX328UWf1DfrX4RD6nqIQDejY/l7f9Feo7ZGd5wem7Nj
7/nUxD9M9kM8AxFqzQtXRijhPl7zpCLgaaAM0HD/U8rBLD+N7cwiwqYUc8XNNOO86Up2VzGRhPdP
V6FIpLeDWAGoDU2l91c2TAx86mGdYo6DyYA6Rnnvqf/QoLg+2TpSCCDDx5r0lEfTVNQ9okiZoxPe
citbUz8bldZ5+fha1irzbW2D5RvyAsAW2FC4v08fTaPVR5Ic0Yj2jXBgljUmSjiEmV7l8YVw42mT
KOZfuI3/tjL/xQP5n0/e/0/Ef8r0+d9Z7+vhmz//6+hNhPbq3cYjR1MGWPhK0v3V0lRQ7qxWdQp3
bwWhodL537M4Idooir31/wyMZccH/t9ncfcPXgEMxusvu6p4zH9yFmc7ff+gAHymnwowhpkpAmvr
FEtFYFUkizw9VKPSxPm9VFvTvBzUycoHzZ9mHqN049aRxuhfNWDFZjsgRljd4Z9bfNrpHFGxGle6
N6vfipnioOuJkEMcT3GAW6h4quJu8hx6gMRENpAU+GfyOUt6Tb11HIpCWAD9nI76d+uXSi3Bz8Jk
cvqlYEMekJgP5HkibRNHmZtxlLyNR/nbtKxSOJekvwlRAAq5LtHZf7OjcA5w0HI3g4cmp2hV1tk5
YwrIxTmCO6bciO/ATiU/Y2OV5FVHeZ55lOppR9ke1kIkfMtRzqcdpX18mNeQ2aPkb/6l/zN/qQHN
X9rAGC24vXf03s4ezUpnpwzFgJPoDm0x0sI2N434slkVh+IoPjSPQsTmKEokdY75DL86YsWx6+1y
X7i1GuTp0OVbvZz4u3C0oAWhl/WCVaQrBJGlFSJx31xVkVNNVeS7Yu0N15VstJ02my46Wccoh51p
tLYdKL+Uli7xLeguu18qzPaXJrP4pdBsfuk1s6N4U6w6Tpcpm/Dlqu6E9pKQZ1o4bREy2El61Vuj
mJak4YN0TFIjgU2T7SHWj8Fr5jGFjYkUiWzFMZ0tihVOTM6v2DbrmOGGB4M8N/WY7dahkR2BRHoE
v5m/UuAMbY2E41jg1H6JNtQNCh0guj8qrlvvC81oGMAdQ+Zye3KW0MPmjjfomEYHfL8Z4Rnb7VVD
ErGCOxVd527gvzPtx46YolvUGsscCiG0YRPFQ9ME7YBvJBibwtICT5/LB9ue7dsYlv63OqfWDxK+
UA/2ok56kK3ReosiqHaLuOou8CXJS9KySeFbddIOJjhGw7hnapskCr6sHoa7vHzsjll+6hrr5yR2
Vu5mPHcIr6LYVC+iTM/bAHDHVMGKa4WNFHzGU5ocMwTbNU7QPiYLjhkgikCRmVce2NyTp+lXDuEx
k5APHfmERFymGkyANbdQXSMM88WKOUYekw3jhJBDrUb1FKB/7TPiHFWv3U4ZFW/QabX9XTsmJTbH
1ETPXrN6Y7T/OTmba7KilVlrHl+c9ioHljV9scpi08JQ5qAJX2hGPres+TRQqr3mx/xG45jliCOc
XMfkmPEYd90o4XuRQb5tOF5/8aqiJyHETSvjopqm5JvAEqTRsV66MVCPqZIGyv9nqOhOQy5vQgKl
Itkx/WoNprTUMqpCZ+jFI54mZ+19t2WKekss5/TQm+fMbfQYkZ+2nglZmAd3DNVkMYcDGOpGDfMS
xRFhxQj6m62tU3/ult4jY1T16s59Ttyh8A7AHAt8Z5VKWLNAGjsjBARZ3dr3/VBl6jXnylbcurNl
daiLMDEVG88buqIKpSv66HkcUDdGZK93JMX6KGeT5OfUsEvwYi0NuuC2LpE1eLbiLda1m6Q5kWgW
wjBjz6hAz7+SYOqWe0/RG9PHvtbKu0khozZMmIKm5xwrqvx7kmeuQRd/qhm15omB8B4qC9EQKO6H
pojPeD/ZvdkvoDu7IafpChV8q83zeEBpgYlh40g0dUngtOzfIechxTnUnh3Vj1E22ObO7bD9XqVa
2RUbVFUWeh5qqGp+KtAmlLduJDDDaZ2X00tVIteszyZd65yvTqp3+n7deoso7F0lRXCeDY4b/ywU
Xq0103MGsDoXhB/4SqJPBieosi7D1DVzB/VTJpENjAWaUXVsqvqsK0v3uctS/dsw6opyNwzWMrGd
9uatGdn9eIMFU3tOMC1yJB/rPA17yBhaaJD/mTxphaa223mMepqw+ogAMSFyjLq+t0Zx5dbKPO56
2+jNe8/tpRuaeEYQYmMEvrORi98LtG+Tn7lzixWgx39KOnPqZIHjNozniH2LsSZ3TnSBWBGjm8iU
It6YWl3wOal1NApqadV406FCEk9tNvltbepJsTPkMj4MlZXIrTeZTYoYUpC2tYw4Qv3ebdIo1Ptk
IoCaA6OTo691nGKjWVFjnGGZ80weJKnS7eiiWvsWSVHS9xwUS9nFDW9PILDTyB2Bv8zc6CkjqhJ9
GS2+ZZvoHse6iKot2ERPJzQGgIGf4KX4kog0szaWmcqtapKuukIUVXySpYzjfZmYTXPm5JV2T66C
hs+6UQz7UmvNHtTnULvGzuDw8oqssOHIHUntO89x2tK0TnF1lEWcxNeQmEfUFE4RZQdvbBDpaahR
lbXk3wruY36FBEi1QiKFV+u4miZaC6bX5F6raiq8A4ni7jZumqrc6WmG+tMqRVKj8iR8wrwrc9QV
PG+JKq9LuzPVwC5M9F4Ce8ZdZqPXY/s3tdfezQSnLGyrRJ2ZdjuHZY/+lnErdiAyed3MR2Bn5VsO
/8P9XLSxsTHLtGQ4KO3vSaNJZhGWnUxBl81TjoSs5DciZUmLwphDr44nk38d5tSAX8i9zXHk6kgh
kB3K6ceiowDd6kpk3GpT3RsHxHhuFWpUVXY46K3TEtbkTPLaKxZkzWRgDJp5aLxmSp+F1xAuTV8D
yzX9xswuxocpww+xWzM2XpZKsejpwaS77zScs+fQzfBodkPd9C8VZvJXAs35SYdEt0UgRK4gqOtt
+la9iRaLYbRpeAFwdmufys6qdy0J2TbGG9KWgyQuNHELCC5X6HGmqbN1h4rKb4HMUl1rsVGQDi3G
yfFtXD2ocxV6CRFmbc513ANkeZzayf6bU8DllUBZlxdj3wSVa8fPGi3DalPmUso9Od+Kc9Z5Zv6t
1pe5u6bV79RfELZ2Ev+r0sqdZlTy1RPt0oQmmCSOx2M/q9j23VRs60IvnZVMNQLgImpwDmavFdmB
5PDZe04ZPBVYa2atulkyg0gSbP7SeiqNvBU3BE5l/Z2VUT1jMR4LOeSzQjBmTSmQ0K2UdTX1O7vi
MlreXcXoU423EJc6LvyAyZHRXkRgpl8BjqszMByi9Hb6jLOYb7MkEZlxc3dVSxVzfiNiUflK5jDa
0vBpSL9bNTk+1NWlOySGJPTPrTOk9KjrzUu+sAn47JaOHyHFdvJ1EXl+S3JuRLcpRjXqR3HkqmcG
T5aN5Xie64Amj/nNzV1XIpqr9CjIVew1/uRRPQdtX7vPdYRex2eOYdLujSsl29B1plvFB268dIZB
Xvdla8aED2vDM1XLPG3TJCG5c5nN5jsCV3nvNEsO5Ldv4ttcjDpjGDsqQT9qSII3MquWb+yITecP
XqIWIbTRaBsNCl/iwuC+ovhLnKd0ZL7ExmSaiOrbUcGZbKjZqzGZQ72rh6JF+oMJ/3GajLwLprSC
kJeIIte3bizT18SjUtj2jcFXaZ1Runuo2HW8WRxd/aFZ9ljTFmNkFsi4nO+qospLNmtsVY7QHQ5A
SBFWpUMt00BUcdP6qpPyfUf7XxFvnNjLPi5opRNtZg5il6ugeviG5PIJ/TRmydU/0/qKLEsR9Elj
PncgDf7MokgMPvb+HkmJyChTTaQYPWICe7B9j4PGX4GU/z2n/0vjDP2fD+r+cyJ5cd8e1Nf/wV9D
cvUPl7YWEBLctTajOzpsv07qlvoHxfKaDMusCD/Lmtr4Zmi+JhNzLvvLbPy/Q3OMy0yX1r6VTqYU
uSP/UHz0/pxuwAo0NWIdVhScxilwPce/GYpZSB0zR8zNxiZ3HIF38VoVWfqcgaW5oGZaiwrhIHEc
FhAGUfHTTIplm2eTuYuYEH3XE0mDeo4G3zBG85OW4JEH96bbdPzLoSmBFsHMk73ipFtr1ZSREF4b
hvNL3wcpLdsD7f9uCkXV837QU35WTOZOfovyNlhqAfy6TuugVKPsErgiUpzZMG/cpv5hpx4hI+Zo
3EUzgJcAIYz5iMpWJZTdVL4ZMiUFGPqQ5tDdNIXKLlU7jzrh3gjpB2U3O12qBnOqAA7BTqMwA4sj
b4Pu0bmbF6sK2yjDrWgzqiAeA+InKpfq0lK6xAwon4Y/hVtj/9FUExGBbo/zq2Y4seWXeYHBZ/Bm
+/ssYXoUZGJ9hqQ6gpNOb+Qa1YDGggU467//lV1cIxl2WcksBiZxoYc6qe3z5AnIIJgglehyKH5q
uCIHMYRG+x0X6M5JvjQMIEs1JsL+LpJbx9mmKBO8bDprBL7IHu8p/5jxXxDldHPQ7jSmuzcr5ZPY
qJNe0vExMAwoe7TDj0m37//2S5N3VZxRizT5kG7irjUZWJBf/+ad/RuRwfownd4j28bqRhY2LbDj
w/jmTdCoVZJCCrkhwt0MFYuftIxue7DeTvF9cagcRZNWn3SgV0Pe+1V5FFasP8CItQ99GhAdG7LN
aptAQ4N2RVibhXoxUmnAfkvV6dnSM+NPXmHyyXChVLdmwUbiSyyfL3VVFBdWitBaMIi+6U21wPGc
JMqFinr6a0bu2UMy4/ls5MiECWG4vsnc+LOhur6KE9/dNi6AvQ2HICExGPOM9z8O28rCxDZHmIYj
eIN5qwvo8SXBslDR6ZhetrJHb78MkYMGrBfbdDZ459Qa6AVlx5nF+I7hcCLCySaMu9Prdr8YQGA4
6rm7WciDZbe3ZE4OQdFUkEMYvl9qwPWvR3yKO7tWv3TLjAg+i8tNb1G3f/xYsHG/vz4Y/ho794or
AOpxKs60Bs4Zao9NKhtMudelPGtSYjVpRb3CnCGflhPNxyueTELQMaFQoMMOQwtzo3sKAaQsJq+u
YMVaSsIWsgLW04hZWjlURWt8Mpw4HQAdVzOJAcHLCbyCb8r736/Cgc2wACCJhadYdFa3rdXUCUoz
VTZZYbjbBh+NX92otItAn6bT68dXe9zE3z1AjMzYlrhafDS0rE/2Js6Bcu7NGKsjOOSVJGAeRF9E
Z8JZoiBqrQjJo96EfSkdv28aL6gMKqSGAosSUg5BPg3OmTrAZq0cyAFGdw87cQ7puXrBEcCjJyaS
Ujo6vlEUEhtmMvJfs1GFtU0bxEgx7jFjmC4j827UlJuC+aqfrGbCkWkpkaaKez8kfbmDCbQyh2hZ
Lx57qDUlM6V851YPWipUAJS8BPALAqbwNqJ+UT2mxAkdtIqTcurw0004rX/h2/5bc/3rCP3+z0XX
LbQX+a7kWiHhf9Vc+h90Aam0TQa9pE6a/Jv/rbnW12udmKgmiZDr3OL/11wa4EhE4KiE2NPWkcpf
wxHd/ANsnYP26i/Xs/tPhiO/fc7An7AymnPKP9Y5mQc6JhNmUjTaTStr81JzCs6Gqn77yWv1+7aF
UE5jkkzEzprd9f617pHiKa5FvucoFOtgScJ9mmaOPqnQ/marsmxeW27misNx183zzTczo/ldMdWV
m66J1HPk6/cJPrNtOihoSjim7D++qN8+0cdRLQ3UY6YqIdPvl2vNNCIwCRE0L2KziebcCyZkcdg3
eesybU4PVt67uL2Mz4qD375yx5UplRmPWc5vcYJVtzpgDJWVxSAusib2zjoIHaHeGcNmGeBXUEjv
Mb/PZ5kF1eTj6z4RBKx7tLVW51T7po2+7OQbO8z42grB6l5D838ccT6jOW2DxO3iT6SWvy+lWTw1
BMrg7mfZ9d+/+UXTOOrF0GJTihHPB5WKxgSklgysbp43H18Vgkn+Y++3fqoem+qeHDHVgbD9frEC
3VXbpohvBf0vJkBVXxxS3YlBVJDlECKUkd9dTsctKldDS4PZHfszYfXFd9FEBna3ZMx8zrbWZTMP
0aNuuwCfAe2lr/h4DH8qS+dpavJqY9aTuo2wtmU6pItUcrinO41KjTND2z7Ni4i/mkM0fIcknt5H
FAMGVczSgxiKOhhuOjb0KGijRKcTTgRCtZ77FxyMzFUSF4JPYC9Rd4EKjxGS2TcmBMRMWR45d2kv
0SJ7Mxy8VLT8Ux1FAw0w73WqUk8JbDolGBWaNu5ohtrRuZNxAqkHz730mGk+R730HrtWj16dKuZR
70Vd/kTQ22hnY9ZaCONA+z0gyl8EFXi5GkH75SFFDH8/W7P5kMgKF2QZ2RN6REcHDhCjefiWudr8
guORRkJhjZmGDqjIrlJ7VDAuZQ6+X2pQUYYxgq5+YzFX4qQSWRMG3wm4bLnARthYHfZ7n4ln2/vq
oKbPLfMBpNB2Ql/OGm3lvPdQnG3KuptfaruM/1Qdpbkc8qzpd6pskieiddN7dUxbxzekZd8vnTGi
BuJE+tNNRwwMSILVS5Kmmis9m8HfOGpc+HHqldSXSXLNgUk9FLVu9vBsmMVwgHNRRSIAYlg32sva
5Te6cTtAyxQEdmsW01k5UyfCEMUaaV9pRttOkAkz76dXwNZL6fTWO1VPMqYwjIgulWShhxvjyOvB
ai7ZY4TRBHdi3UVeOGal5PCZlelzXedMDQqyl85zo6PJpM2D5MBY1tM1dD2nDemjFiF4Hn3ZJ7ZZ
beKocTZKNff5vhun5edcZLg8p3np2qCnM534OOunV3xw1aMYs5mplxy+KqoEuY/zD8M6O3MLZICR
2pMLYGb2B1kNmLidQf+KMFGAa9REsU2rzj4baukCREiHH73bGV9o37ebtFqG165rsRqPtNKhaZTq
LYOHtvyE2q+vO9T7N51WBts26u1VXuCu++ubbaXuFyAGaM83M0OoDAQhuYu70XsoY933+inE3eS3
Frejt/2+vKubl9E4bwVmce/K8i6m4nrMmg1mHVwhCFmFrmyhRu2OG9J/a6l/rRqQ/1xKhTEKxrel
1PrHf1VS2OWoyamhONyRO3tUjPyqpKiJbKRGDgBPjswUWXwp/g2C0f5YPx7UNyDrdf4UT8O/K6lV
t0LDycVu9Jc45R9YPk6+H2S52oyMXNJTkMtx7jupB5CiVrDxyYseXXPFPsAaEIe6SSCMweEQ7bZJ
79/cmJtfT+xbUN5J7fZrRQ+yN6uiHlupge+e4yJxEWOQQJc77rmhVnCAPwsXOhKX37wrf63B+QJh
J+kkxxP3m3fF1pduwE4SB/UmO6NThULVfo0O6T71ryf/T67U7+0X6R/qwPuknjul/q9rox1y+M2Y
WKmoh95f3yw08jXRHwaRfEnaaxEZnITq8xrrexwrG9LWCvBwxfzJIfD3delorpU6CkQHiszp/pDC
k0lylXVxlm/yqNopUruqYvfcNkLLiEMkCLe6sHau/UnEwPqIvLvZNHpsOm0Ic5AuUP6/v+DOVap4
nnUwPCZMh2mQfD2cGn3NcF/R0tzgAP8sjPi3p5YlGQLgD+Slgr9/8gylWIGLuGfJtp5/tNM0HByA
iFj9lJtBdR4k6q0vbZF9Fqn0N8sCs6RjTAVLHXvsRL15rNRpaJwqzVBTwEHSwATqP0hEa8Noys/G
nMAY72COjvLyD18Y9GbYZ0lOQQmGXeTk/jborpt8jrNAkNpl8F3rxNdZuMW0/Xidk5MIvWEUb2w2
FK4MVGhnvP8d7VjYEgQtrgBIS02lbScdJ6pano+A3D5e6qREZik6FmSK42VbG3anj4wdDxTsjZ4F
pdORGXU16Ww2nzWBfttojot4nKtcPE9sA++vp16EqDQFlHcq0y3WNqrPcRrC/8OVcD7UDbzPBslL
7xcpcFHIfjCyQCZVtFWGqfanpX426C9u/vlK6AD5kpCztQph36+0IhZ13nEeg0QN2LfBuIuAl++T
C/q7u8aZn08VmYx8gU62L6fKyITHbUd7Lrl3LHnXiPqTJU4l5Mef3+Qt0vko4tc+vWmc3ftaRdoe
DK0m8Qkb+o2ImmpP7XW3INWOyxH2xKz1w8ZQPKDK3iwDvQQ3CUgDBdREjy2cIqzJH9/iv7l2XjJu
76q2RMp5counFD6kqjZ5kKMHiP2uiJC84Sf68vEyFr/U+w3TWvXpJuMEl1Tm08hGsAlGjCEkCxYL
tHJM9UvZbUr5yUv2+1eQQyF1worgRZy9jrnefWk7tda6Nu0Y3E/jD4kiAdZihuFGWBt1zdTQ1epP
DyIKlAdmuUllQ9LXm749pJaaXzRxk+7NbLLOGrMOgH0ar11voP8RUPsXtVd/fnxX1pt7clcI/Fhb
tsT0eb+18SFVmlDPkeYs852YfjrRlQj029l4+HiZU7b0+vAhwV5P6BowMF7b93dF85YBkaORB9Zg
o9wYVmZ7MV25JEUoAV6ugRlzyzASS9g02hzW5L7P9T4kJyHegVoBtAjT6JO99/cvC6Xh6lGn6KMp
c/plKepWV2ecWUFFJJcL6/tm8obnvNv31llXjMq+bKBwfXwn/uYxZFCDExRZ+9o7PrkRtlJA5INP
FTSmE1ajK/CclIeo6j7ph5y+VQTS8Y1mi1y7acSZn+womabAOyn4YWuSq6+9xIigdOntJ6ucfr1O
V1n/Fm++zQucMKMoE97dqtE3iRE7CAEW+1wfwPaJQvaf/GKnd+90vfXfv1kvQRYbDwNXZUk4aOdL
86j9033iuASOb5p1VPtIUN8vYVdqz+mcJTxxYaPHKNwUtFbx2TaxbgNvXzyWwSOzMjiIwLH4vrxf
ZkUN5lmp8kJAzbpoDcVe2/TTt8FJhiuV0cZzC+l1i/jRJyzhptXYtZaqX9pP/iKnG8Dx76Hhb1/f
A+O3y53ErJWk8OSwIxOUwJYEQ9uzLyEn63R1CDOv+uSZOW7ov106hQi7JKxy9XTDd63RQJVKo8N0
+mkHlC26LXq6H5FNx2dJh+wOAqa1mXE4bRralLah6NspT27g0oL+yq5gpu0N51bT7OaeBu4nGVN/
84zB+iQwmn1vTY49ecasBVRaauLvg+PYvmDJz7cYffkURmBvP7n7n621vl9vnufGNap1VAqSC97t
rBo/sWZtkel8cknrM/vbHX9zSSefWBW9WzIuVO5j7LkXcVkj7Y3oM5nXM0apNYXc76r+2ZGV2Hy8
3f3NNsToez05U6tRu5+svKQ5QGkDGZtlKz3JMnZ+LnX3s83udBi4erA4bzKPszkHYu85uY98HNUu
TnXKmiKhT1oUe7Cnim+RaoLWfCuz+KEa470XlYehT3Y4Kj7ZmH47CFK6MwLEAeaBxGGufLITxkoh
p8XFHznF8U+nM68EnmO1UlO/L5JrTXb3aq9v2hTynvxsmvHbU3Sy9skT21XYsvJ2kIE0Xkbk1zqm
zAnN/cc/5SnMQD+9xJObrNXjCgpIZIDpLHScfu8o6XNHi8W39fpgI9TMh3mVWJwZjmL64PCTjdYO
u4//Gr9tWOvFQuNwUVXA/D89YORO06LU5Kfu8uymSYYDOsRQ0bI7Q0RhxKT5k8v+u/XWfQBBE3sl
EfLvX1HXYVxjTKQlJYQFs2XsJjiRNs+UbW0n5icfX93f3mRGa1zdGseAXOr9cokyDG0b81vCjN8n
dXpIrOG29dJDaTa3WuZd1rZcMbHORZ1CzKxnV/dn+dkefVoZrT+1Y6oq/5+4aJr97/8WiLXHfuy0
JsB3bPb39PHZoxZseddKzpDgsTT6sb4T4CObLfT/2vry8W34bdvgIAxcig3jaHgFu/xuXyxbmLME
ADWcCcYL7nLsD3byDzso62GbDxBjMRoatANPrrHK0qLSwTgF9SS+WVYfxHVy43beF1utnjoQQ/+H
S3qznP7+kkb8BksSk5ScKWnvk3d3mIb+7uM11jfw3T5/ckknt21yzYRmwyLXL6vl2yNT1NIJB4Jt
1z3hkwvS+FSfrsfBGA0e+y19KAqak3cDcImLmjRRyPpp0BG0M3FsVq8p8rVf7Flg7lFc3NYQ9IFe
dVF1V3H0JLLMZo7h1wuEecRJOMpsHDRZfe0yxEu+JuBtxVUKzApvxTxkWeV3s7Xc6YszXQmEDk+w
MZ1zY1GX/HvbNjC5EK1X12PFaYIEoqhiAJFlzEE05oH7XDbyxgXtVP9Zuql+DY9E5g9rBKHGttEv
F+PkfXEyAB6tozgP6FqK21FPRvci1Vu4KPYwpAPmHOEk+3Zsq1upguvWwBJEvr0M0yPJVwM1yeLO
12iZirOJjMBQbZh8pXxZn2IR15d6pTlXmWMB6sF1tzfz/NWy2sU8a/PJG/160LQZu8OCmmSqMA51
0lTzcBZxbO9mVLLEa1DQN0CQmaPO0sufRe4iYfM0/VDSHB3DwYK+SxMpGZ7U2tM7v43KC0KaYte3
3HqRh6FLjZsc5IQglul8tKLogNRq2IrcbDmASvurquSL3Ftwui5Uct9uvakwNnO23Nk54usmhVA+
LkmLogfRcNsnoCazMjrTWs8JIlIVw3HEw7tHBVSNP1pLEIrS9RVDrJ5AswJW7LUcOv2mi/K6DwsL
enDPT7rRgLb1d3FU6g9WN7UjPam0tjaTa3nFGSC35VzLaxV0ol5w44qwq5Q+RTXckH/QqskNsrPD
aGYdCPWeXAC12ZG47jzZlWhfpdoZIfMsDBexHhB3tUlAG90UU024kUsDYBLTKyxFSvwEBBLUEmhz
YJN2NXgPXSUzbhGm/bMu5iRDxRz7eca8En6CHTpQ3tpABzp01RR6fqM5inrL79Vd48lStUsMWj8s
FZGVyo8WExMB/hbGtg0Ig5La8MpXY5iAImfuTbU2liqlgyaWkINSgT4qG5VUsnb54Rip/S0TRnmh
tSOolRWHt9LQzoCt1mfAFBYtsGPAvbX+WhumtAK4RmjEcfTAvPV7aMCKyB+yCY+XXVdn7sCkNOlN
kg7+9PDnlKi4Z+UJmfv1XPEbszNpDLmM+8WQVTAuc31w4FcH/CFshw5OKLl+8ZUlcs9r/qgV1b1+
nXrtzPGkIpm0T9Afkia2zbTh2uZTh7Z01vZjweFejOfkgYWLUO+F0QwtVgzGBVa89r2GwW9IV/5e
tlQvrQVNd4qaF6QLGRYwUV96mrYcqJ3ya8Eb9nOcoM8Hhp2Yh0h+RyZ6TmcOkqAHs9x7cqbZJ0vl
WnTLQ2E91VFI9PD4UPF4lLe6m0wViS19uS1F2u+T1tNJHcnL/G5UmNj4qtbod736ai662KhoCuzE
27gi+bbo+jO5MBSymip9R2lVZH15d5/T2zpvs1Y8QJRJN1qT2cA2mQwcOva2ZkihihNZ1iu2/tKm
ir2FF+GdYZHUnDDG5qrm2iWamjAWhMYkQGNjz/rTGVImidahTEhSmetw6VpeoNwME9eeinAQVhdD
81sGoOLI7d2uemTQXm+Q1eiQgDsIUhnQWDwAHGVd/vfjsjOTZG+6bVgu3lkCSctUve9Wr29nmHQd
XwixpNsBat2Q9V8nJyctJ2U5Evg00f3sC/IFOKXsoYOEnVkDCOr3db/PDJI1CLof1dEnjm3Dl8Af
qmrs9kNtG1+bkRxkwjGe2Mcw8OEqOkDHPXDalRwzl1fb7QIzBUBfC+cRoP9wldlsC7EN2xaLxFRv
CVXXfmjqOFIF6ETFRA3MZ3O5VHMDS2KaGWQP4tjztkPcty9t1ry4sXW7qELsXbLM0LpFRXNdm10U
DkqmydAu3Tsj5pduLTO5zvpFqXwYQuCpZNR8gam98HsbWG2qWV/xsULAHzPzH8viRGfDHP0EkJJh
cR3sR7UEGLMYyaVZRhddojyWlvlELnGwQtn92HVvbKOcQqfFqDgvzQ0a0+ZLoziG73kT22upjGkQ
NxNEdSfuPe3MwidVHOQ8mbeFR4dQmzDGEOTZkPHi8H1YRPS1KyuSodw+E2FRNuN0gIZc7rwh3kW4
Hv0I2OyrSa6CGmZzOif3ZVfON4aaTztFKZSL2BaRvVvawjnvyjxRNrO7uHiEC/NSmPqBVy6+cF2i
fiS095qQoy7JsPd1LgJCTXtp++mrOkx2fWCiYGIcHKMXz5knyGaTuuwWy7oRWFQ4shf5Br78VWqA
/6Su3SjEgXNg2Lj5fEAD5wtZh7icAj0tCHYA/Q69a9qnuE8IlZORRf+vh/UDokL9SshgZR5UUUrz
C84y40+pNdQ4UOlCithQlfaloSaX9Eh2bdSGCJ8DfOFRc5UOV2lLTw+fZoBdsDojxEa2wUjjRUcR
33yRs+wPIpEj0RlwtHlv3OzJjREhH9oEAB+wzIZQnWLKfDl7k+CF5hXFVKjLM2mdgYWWj96Uo1Zz
VMPv1VJvQDYBGj2fYnQbDS0Kn4dZzYKuVRGmz7RyaJTa2AdRVIzxcu8OfcUF4vZ5WOQ40HQiDiEL
WhcxkYcZbR/BqSFLXHuJVaN8aZE/tKiQ6yd2qme60GQeFZ0Jemny5tuYNMX9Ak7nSihD5sABxiWM
Bmg2roCToInV4tU0FWNCxf865xD6Mreq/VlDDQ9noLqcnFndVBgsHpRcVqNfDNm0F4SEBhWdBHxQ
qiXTvd44UONl7MVXGXy3742siUz0QAzxSbGmeKO3LgqoUSs14NGp11iBsKqv2PIDHHhPrVPbG8I3
nJF0i+mi05Uzq27uJlervqeO1e2ECeisthUNZ5w1jmGXjuNVYRfzTVJiPkpV76uRdc1l7Sj7qazG
hGRJq9g5dU7maTHH1xqQgDRw2KkVA/OsNkRQffRqqbdqWTy0Vsa4oxlhIM7k2F52RUpgaRzHTyDK
KFBIjWYPBSladyW5qrqFH2uer8qpdbO9HRv7xK3JgoWgzgR/qG660e2gnE/ZSzEb5UYtvdGlZzRh
/QN7OlTnmtU1X6qENLeZ0/oGf0W+L/okuSjd8axLyO2j1xiHCygzmfVnRFRIQjDy2yJy77H6ttde
5HwtFAj3MbzWxapbWoPwxwhyoJgxCYp6AoKvev/D3pksx41kXfpVyv49ZJgHs/4XDSAmzpNIShsY
JZGYAYfDMT59f1CqrFLMqlTLetNt1mm5yEFkRCAA9+v3nvMdokfAnwr2h4g1LbkCs+Ad7XXEGJnd
+2DW4noZqA/HctRD0bj1nWVQ44Zg4idA0ZqnhUFl3xWdSY6oq+ln9tLKc58Eo+dqme/Syri1kvlJ
W6zD5JHUcqwqlpxK7XA4k94iCFx9KafVGneJtMh1K3WjuLFwl7D+niS+8psc9B82TEdLghBCvPwy
ZU33pMjKuBMUvtdd32A57VfxMKzifNFGtFjtJO7yPCDiSakDZjYvbltRvq2ZfhgSOT8L4YFj93K6
tV1lP8IIn1GGmy/ekL/W9TpfYJpOxS7IneRMesNlXpjTwZj5EG1j6nvCQB8tq0WFVw51PM1Q08l5
SMNhqs5hHTjXaVWYByI7EGyNlOP9kl8RTnKhpLkLVoONzeun+w70Q1zkM+ZWTXhx0eYvrswidxTe
m/RcugVw3q/rwT9z83InfHfP6TRyGWbbQ6sdFBK6XdVZ7cVkWNAi22DcIw3sjy5pdezDPkJKjexY
Ygpgg+It2p5HYuJc3NxBOJZmd+lVOFTXpeyK0JlrdQhQyUeTqNi4TWa/47nljG0WzTI5uLNrRpWh
3mbyTrpQXyTy9BZo0wEd2JJGHoeSr8QSk2vs4Lqxu2z6LDFPxU6efoEDgPs1geTfZv1dELSfm27J
diOpZvVFJ+UUsoYsigcgK08SKu9lJyiyoOzO14Fs0th3xNzuiwDfuAvJi4C7Uk+ZkNEwDIMkG3fC
cPcdFuajnbOeYuwlvG5ek+bNtDLtJOF77MaiK2y2TS9TuwJ+GXI4pK0ksLc7s8RVMq+q2Bl5/6VZ
mHjC530qSUYHjEZFteQdizg5KQKu82AfUW+WIIjgi4QACh8bOyAnrNWu0rl8a81B3hauanBdTkF1
nedsk0fFMpqRITJRhxqKPkzsYr1PYx6c5mWdgoD0Cs9K0nPyTURzMTfmsrYU9lZTb0bg4C5INo0G
Z0zoQ4PhI5LME1WXx2Aa5BxZXtd0EDPYM9VlWSuPOVUyByoOwG4gczSC0r2TW2TVnpHLaMTwZIIT
j/2Snc9eI+sbpOZNgsa46afjaNf+ZsBRWpx5rrEbqsVannJpm3aUOhNvoNCCHiYsE1ihfGj3qsHv
m7pAbp7AIIxAxWwydA8GUbQyhC8tXjqCG7GNlyX2TdvRq48LcsFqN83L8pEGf2kdOrEEr4ATRhWP
ticuRhLUbry+UvcB5LVPg+kkSDXXJZsvRDFOZ/xJQ/s8pX5aH4pM+o+Y9ojKWFqypL4QfxDccOxo
WZWxVlvXFCTe9JgNZrNLkFYCuM61xX/EI9sk15CrSJhMxezlF8XQu+lVay26E7M8CZakWmBUCtSF
aDPjSMrW3dS060lrOofPIl8lIQFR5jSqx9LOQQsagCOts7psuuCpbcZhOKcfXTWRJqzgUJYONEnq
MXWc1xxmuMY5CuxdWu7YvBOXuzG4Wmw1XTKEf5mM4rzRDBVDDwJkSbqckjD0xvLrJFP5ERx6diHI
wOLIBc976gcyiRyMxvPHfLQcIqNF8qAF93kuzwgB4SAO25elgDRSiITTno1PjNlVm6Ems1/ztLvf
CJjJGZQW84KjeXrGbjqSS8ApVoe/DSqSY/EM8mDe1dLy6iPpSQ5Yy5zYoErrjRj1MJGWDgrZ3sz9
C2yIfrdvlLEbfWttYi70VZUn51bu7IS+nFvyyfY+L2sQrdLI94m1tFcp0uXqVkrCro9FHRHYsxKX
5FypzGlvIXvEBF3ygu3zZBpiP43F57Kg3E9XmEvG5Zo8SSCrrojs+Xzp4a9nhUOLrpCQUAv7Cw0P
LZrGxc7BgjYXos8vsk5Xl1gENdcnZoir5E6AmIwEpzLUH0Kvc/0wzqv+2jM2GMLcWRMvsgANPFSc
BZySB29hIjXKcxhu1p1lGt3jZHYfyTu3XHnhDTjx6dvw22URFZy3NWVfmJYS+GlaIJhpDTjFNK7c
DnsXy7kbaHuRTJmxr/QyuQbwu4TEVWcxJ3aAOBR7mfbFdLPQbdAqu2qNdBbZZh3CohHRgu9aESs7
jQ2OtKUSUU7iqj5RHXKFPKsyUIXb9ckJ1q7a5dKtMU2LHJtkmeadBJae3S56bWl7W7aZuqwd7Swz
zc+wfuavHtTNuDU1DO7pZPmESoEbDWuvcV/ghtJ0aVqaMpKGfHNBTKqSe22usp3JMxePIFJQK1VL
f5WWXUJDxwKG32eEexMezWIwdJ6N8HU+L4c0gwLUiE9zqZ8ws0+UcPYwT7s25Y6/0hZjCbuBOBxU
ZmI3efZrb1uH2uufFBFi+rGuVebRssrc2GNeeWU0jUW4O27HkufkgZo0vVOB2DuVa6e7JEuck2nQ
glon3bqGRAJ3oMI974cQksb5wSbVKqT11UW54cNVhB+x01P1MANQdL9A40ouihKQ9LTmTmSxM0cm
ymWLMPie9a7ZExiXaKfB0S7Lsjf2bSbPpna8QqS9dd6Cs0ET4mrQ7R15vka8DH5fojtfR9z1QKCN
FJEXOnHYYJpTXiDbX1WsUoItxdo4l6KTiLYpG16MZCpmAnvQh3hNbdJPKJHc0UyYtSgbq/maJANW
RT9fOYd57VtVgbm/bfxVvw8SBkOR0a/4g/VKeyLzJ7uYNU/Hc9iQe0oK35ycoKZISLzSHDqNlDhE
+Gej0+sXFhorf7dlWTZUCxl3WZWucTlS4O5LuhdtCPasecjKYDqtsI6e2ozY1Ys+IyI28suqM9Hg
m+V0jccacOBqLt5yZogUOKcLGiIAVqlCe57tN71c6mnXl5wPR82E0EfD9BQ0pvoKOHF66Nn0v+Eh
KbXD6Gv17Vp5gE61MTHiEjcNp4fenrelpkY1uyImgeB6CLB2fi0npZ8HW9RyskLhx+yrWhAPFVKY
E6wDY7f4BvOHfdF7c9fsaV6L2rkTysuSmaJpDdjvwnYg6kZ9mnLL5uQFrasXnKCIraFLRWQvMiBj
nyUrv4LBbalpwJEAB8+HTAgaA06TZzfUUPZHmuI3Vr/COa4t63zRe+caAg9ZcoOFX7Esp+IsVVVF
NAV3Fn0Jo+3Jehp9m/NZXTg7E+E5eMm50sWUlISym2unvUxYDPCk2glglnGenKoMWQGW4++NFbj9
vkuaNug9wqn38ESAingW2klGPX7fnPbXwhruBg/J/Iuxz/ux0/ZCTPVcw8VTiery3YTRnDsV2CPz
C8YKoGsLcwvbKp7KzH3i0DrFTKNw6Y4wN/7+A74fN31/XQfBOHNq3dK35PQ/j+EzFOGpViF3Iwar
wuGRllf10opfCB/eTxK3V4HYabjomHAPvb+MqcJTnxHwEWUAQa3GiNLa7Par5++b2h1PilzQX0wT
3w+Gv7/iNrz04CqisXs34lLkjFnAO9kA6mttOYe+FrkYYv7+4r0fOm0vwmQ0cJA/e6gL3108Kks8
HfmmFcxPtJ05de2C0Qo99rTffyG89ATc0xuyrODdiF1Upl2bmxLDpoecasmBlFJ5VQ5Nd5cnxem3
XwzGsMEQFP8atrJ3MqBi1sCWVooXGzkdUnpQZ/etjHh6f3H9/iJe4AI6DJZtFycAVu33IQG6Vywp
GnPuvufgukn2rvyYYKlnc2gk/fJ87zsnF+j4b39AFjk+IlonbAHvP2AugzTVE85FFUlZcdZ3+tOc
mFPUbJizpC20X1zQf/OMoYjE7UAc2facvbtNMpq0slq4TYIyLWjX6n042Mbu7z/Uv38RHLQmUkPT
0d99a45OvTARjEhqDK0IBfaYMDV7+cU39m/u+ED30Hqg4nM36dTPy8XAiLWfLC5d41/X410zQRe5
k9Xj33+W7w/On6e53Be8zIZ7RnuAWeTddFV3k7oUxdxFZsWoDPp6n08v7H4Id6ozqyhuUPXsLR0Y
EgS90JP+kRTNC9MjLm7yP5oNl1nr7SWCcXvjTf3v3z88iChGmZ97aA3frS2ZqiFlUjXQfzLqoyBv
NR4X0ZwkMp3IQmh0/PvLsX11P1+N73krHn5SFPN8tz9fdOIwrJboMfaGvjgE6RJVvn9VADWxhuU4
LWq/ZPKLKqvnv3/Zv37XAGeR825+B554590dlbP7d6UnefBFfWDniGeVRU7v3iXK/8XN+29fysZo
ZvNUBngPfv6Ec9OVJpZZXoq2cMlUCMGJITlm/2If2p60n68kGwLSUDa6ACyM8+72bRh3Bb1gHbW6
AoYiAOkB8oyxAmzM4kUZW4X8iyfmL/pfUsd0a6MvIwJGu/OeX+5PriUBpIOPJwAnXGbjoDLMmhyB
GJXrH8l2+dS3/TFlrtHpnFdLunaWuisKZpl//4X+5dPbgHhRgaOANxE8v7/Ko2b0C5mMOINzPq11
2056xKgwtCTHtOrY/Mo185f7dns9rPsePhKPMurdfUsmAjdtazI12FU36pwc2Bi535M6/P3H+ktx
wctsq+umPCf3zHv3ODYuDQSXc0NEO7wJ8Xl4EcqlO+FoDxSheeSbY/x/9ormz7dr0Fh+bTLEI6/m
myQSd6w05icMITS1B8Dxi6/tvcAO/SBEIjYsbF4AqfDs//xyaJU6ciHYgUULmsJNrqy+jgVnVNoj
bXo012CfEteViR+kmN9yVz60NX//j+1nvpLOKMFAq+/+v3/92+G1vXqpX/v3f+innyEX6sfrxmAg
fvqXXaNytdwOr3K5e+2H6o/fn76225/83/2f//gjO/BhEa///V9f24HWEb8NWt/PkC+Tpec/2yrP
Wvnt5a8/8MNYGXygAsOqAXDIpD7a/A9/GCstGxL35oPjPuR2x9T0L2Ol9cFCIcRtuZ2rNtXev4yV
wQf+A4p4kxRSnkasL79hrOSw8H5x0/GQbK9Pc9+k0ni3uI0zXb3eHFQUZKNxdAhpuCCGilhWu8OM
cVRS42RB/7w42QTIrXsNQGhF1giHG2mrc3J1plNvWI8Ttflpyv351uzUp6HNY0to01Uz5pA3a896
MAFqNVFLB+MgrGLeK/RIFzOCNtQLQjFt9bpLZAxuf2ZNRkD4xkw87A5Wcw0AUVi1debR6wbEVzIr
tVnszbyKXF32l6TODmqIGP7lDA5hVpavlcPo7CXxe7v3Y6u3gzwM6KdoTMGyhfRlKreeIWBRuzTK
WjvFq794NpNb4kFFaE22dz51o9udCy/zd6tYQHXVhdGFVuLQltdlXSdxm9KRq+Q0nXxmIjY9SeaB
hlqbS8KFJUA/AgGGXVPmBk56oabVZbBKwhcUYtmZh2aYXWQlmgTdGcJha2/TZMlPvZrt9Iw2irFB
LznXTX7ceXl6kpYIHiy6efqEbNftkR1YLPdbFtlI80irP+EQmb2LqhPNVdfNBAClPWMsJEJlVCxq
+ohUyygubcBewxUEcX7vpOBoWk4TOC/WkEo+Qw72/0F3l6Y+w1a/ZbCudATqdJ/1MikCpDANo+p+
BqKQ7WqozEEszTn5aMg0c06i8JO+iCCUudpZUAbMpEId/FiyH9lXv6ZuqZtRS26Zd85ZnQxlk5tI
RYV06aYO/tD4IZUTUveZF8Vt56dFu3f6YtgLHl0dlqi71i/rMBp42QyyfkKH47v1Cp4VEmQm6pT+
1VYSTLlT0+Ms6xx4Wc45P0Ih+VURn7XE87waTtQktv6JFkCe7mqP9ub9Vm6nB0yrycbXTl+YpyK3
W0YmtKGTlwGA6CIr74d0chQasaWyCZHwUEzTARjaKEOZxGdjtT1HbzLxlQyDd+3YAs76VhZe96mH
PcLWHNqMxtj10O6yOj8leJrf2IBrNzQXREIJadNtyGgtGSPC4UoQBJrtXWiaMB3wGF5wRCm9FmHG
zPCuXlFRoZWyuVgoIILLUvcLNIJr1ZxKaeXd3lzhWcKCXJcH6ciM9t1UDl/8XChgANL2vmVePwQE
2cz6s1zV8tESG8BT0IVuoowq2o4TRq0J8yxyYS7MBoDqJSZe2vhO24KWVBkaq/MUGDyJlHDFXzcA
JsIRu8aCqjodvJRVp6oBmuIYl8Tq9KfC96tzQ8NhsdfEYBd0U+lixHO5jPpF6utqihPZwPc1FyRY
+5XwG3Nn2wmU4Z6Wvh+zexMB1/viYJRm/QhXlcjJ1Ru529YyqB90FeSxO/j2las3zIGIIcdc2TSA
eIucRPOdm2WMxxjCDN7tKry52s+eJR49mfavxMUE1p4A4vk5J9rgzm/JTXbkbBlH7K9M0rN2ZFrv
84u8fed587UjC6aPCAoNxHlGMu9MwpzI0nES3Kz7NZn7cm+ZF+ZMgeoMbShr5fr7BexBqI8e3dfv
u89vbcCX+VfZ9u2ber+9/rQjX6PhvFfy9VVdvoj3f/L/wo2YdePvNuL7dlDZP+6Hd7vx95/6sRs7
HzZvckB7Z1Mxfz8z/MAcWB/wrfIXZgSX7ImNbPEDc2CYHzBjbCROTuEcAlzexA/MAT+0+WkRCRPk
892d9Du78bualF19qxA2M41O9YZZ/eeSjQ0qmz2JuLow9AcQ0xbCwKo6a5tFxYS5u6giR4JY/nSJ
bv44x/yZdOB9T7/50/lm6wwxy6JI4eQGrcF9d25GNmpbSzU+trJtit1QMl89tItD4BeIzSAu9JHR
0tLX1W1AGoWKCG7wHkxRqC+Wuy4HWZIicYJHCUEYkGhhHMSgHPNxdguGo6bbz98oAvIzz00waFmF
za9gK6VH2w+K2CsxDCYIaFoHlym0z+eEnibgQFofzmVprdCqe/RP1ylIXebjhev0B80bGLYlaHq/
EioWlJccXzwUWf5cAi2A7akP6EMFxXzojo5WvYH07JNP3pBYIN+gvOt+H3lcbcL4OlhtEglmk3v5
aXVdqoCTP0vNfc6CEuGskQYJOzH58kyeYuGbQ/A1aEkOjdttTn1r5q3+ZWJI+anNctEcZvCbzt0W
P3BpT/6UPvK/AGZhMAlWbS+73JqZ5xmwxm2jcO5bY5gfNb8ys2ha2C7BfI+W2AeZLWH9dgwpdC1k
/x3SQ53J+Q5sA5GTrd77O5Kf9T7OskE/dtxUJKYEa4LaZZqd/DDMGpjPvK01pBtzCe7dnC1BRAMq
rlgnBeKaBvVU71G/Cya6qQZFDwnbYLE3BUHAntgkygsdsxz0qGeoOt0SR6eyh8yrv5hyYpoXTI4/
xXmwiZbq1f0sylaWSFRTuM4p61zGsWrIFAmDA9FfxkpMWlgyC2MuX68Lul7L6LD3iLp8psM7flKe
QnA0MNjyYwKoyR1kaIpsUtcGFH2LaRG4pgBEiLDO10Y/11Wl710USR9zObqfksxnSDO6XDc0Kq2y
2IFVhyYxqTISo4MebRIV2XoK2C7PV5uMEDPzitdhmupXwj1JiAyqDDRF1jvZa68vo006MeWalzbN
hsxBybaS1noUrZV2EXNu1u8EQfOAu7JON8NbPV1I1JBLuNhOVoYVhQDdgTzJvxGeMXNUtxL5PEBt
t5BiT+IbBmspYxcS0VlTL91HW5hdtx/BSduEHTsOuCVCLjy0TVNzqG0ngEm9WMij0NKBtCL5Fech
+ShUy4DDCJ0dUucuKET/rQ4wqk0pZS71Vy2vct9pH22dknaHLWW6IPWDp8kvS3nXOgbNrorpDxV2
h5JgVKLcQ7fvJ8qZ2Ttgxkp54XpeL4Ka4FdQ8URehxWt8jnyvd5ro2Dl9dChWJNFtB94s7A2c6Cy
JVabEnH1RHFQT2OPooUcvGG/6g5iQ2ol+eDLXNwWZdrCTtTketnN9fhpdnrnc0tS0JMVJMIPZ7MY
bmiq5fcF/eurtdbWNF7kFLyNa8tsbSt8rTMjrawVYWrXPdsJJzJc4K53ZVTz8rAsMw+xO2JXsSt3
eSyHtXqxQYWXzOwU5U3VbkoxRCUoDhcGtDfMh80l8gOtVzuhMaqiqjIKF/Fab4P0oF1oxDqnCdTC
BpwvQj2dUt+Dpes4+7gVc8eoSlAx2rtON3PxRp9nui+d1JOvuYWyNUTqoC4DtN4qInnOVLHl1E0b
CQbYY0gYommC+OJ2Z5DqSxJSzL52yLIgIWC/LktuIAB2pDPsy4aPeplK4TjfapwnzllPdEHPYEFM
cAGrlQJkYVY7TyUNJBkIblV9Tu083fvrKqYIpNSI7X4ceu2RLznn2EEgvB2VrpW5O/Ssnh/yPNEQ
mQrHKL0j6fRNr6jdPK7LXpvQXX5xB23NDi7WAK/cJyIv0T1KMpVYiswU+jSzqHXqi8tWEhUQ93Ji
ZE/mstEfswZwJ8AzSw5wwAgxaUx+tWUp86q0GaBzyzMCDQ6irn0j42pobiliy8zo/JutTjcq8Mrl
mGhqptsRQAiwz7YtyoiIbgK4ceyKATv86hPoGURZR1ITggRFcuvl0gdWVREq1RO8Qu4ABrrIyqWh
b6tq4x2E65ZeEy3EKowPyVhm5id4WvW8kxITKtHunUyejHzq3xanSxA8gEIKB23UX3FKCfMEU5mR
qAdznhZWMTmHMcls9jon059Z7ZI3+uLZhSr0+q0oE/9UKNUpYms1mzBOgmYIpWwRyYazSIZLhviU
ypm0ZkbFyG/uCB7NnkSaqjNNz9TLQFWpQs0ruy/2ooI6KuqZDzx2KSfeZBXkyqbFVCB4RyfnMRF2
0J8jQtU/snigulvMsb1ixULKx82rs+JqWX+SnlFMOzYhswvHsUuIh6Y9cd6ga8o4/4BKAHnaeC/d
nBS4GzyBThfQtbHunaldv/YJe39IegcY7xyN2TcEE/JhaHS3iCw2OuavVendpXNbDTt3MRU4Bc65
yBCCSv8qLbtdw0BU6X1AuOSXGRUnpYg78UGHBdafijoNlA/YY7/J9mQYZQ62k3IToiLBvnUm33/E
OqYUXdOqRs2UN6MHUsJb5GEGhTdCUehq0imKdCJsq+nHT5PlsWQR5I38AhogsQtV19VJRFKNRycD
Pfo+qHsXaaRWIkoKcmWhs2+9qtrTbis+WUTTo4AIUvPbzGPthAUWjxd8LuZIbE4TAAZJSzEjMRiG
Ig6CosWVmIOB2dtt4V3ZM76KGJtCm0Ymqbw2CmOrhFib0g7D8dEyos+2aMZB5tQgLMjjEDdBLtzL
eoRqHVGYMd0wNZYvSpzVpV7TtteWri7cUzHa2lM5WSRXOOti5vEqAbKH7mwbZFzMddsdUXK3QWhy
es9DF10VRqHSzOiKVO68xP60dMthzVmY9ox8m1s4dp6MbfJCqlOPpMPebRyv4QArfVgjheB379WN
58I+zbvtEKiN8WgmAcfWZIBSwXmPlWJyEehkRBlcNPxhZK6KJLAwQQxhRa6WcaeOjpc4xxTuUR/1
61w8TZPIWXzRwgPTq43+26Bwo+xnYx2bcJ6yZYnqplIt9qTZvsFd49+O46wdjVU3+jCYHdYP4Jec
30kou+qtrPmM4ne6tJXL2l1U5XrFrTl/hkKTmXt7HqcZSW6lnfkQFa712dVpAyxp/irUOt9MKwj4
/SxK7YlP7nqhX6Tjg6bpKGD7xXNUZPQZ7Ed38e2X1msbtqjAemXeIHg6yUtBFjWjqY7mrE6v56bQ
PvvEN39dMBcgdmqHQIZbRM7zTLVwkyCNupxozD/xbQ2oGB10mKQFGeS76YZ4a/J1LWI8jOaD7FbD
imxaFXjlKqR7hxZ84yHp+sGBj6gFMzl2fvFposVaMxmrjfkworEkbZo4WVRnSdvqW7ZNiXS2a5w6
1jXl3VdFq9IDWtqkiSjxU+7Qcq6efEoVfAolS0yIe5MD71bqs4LlGk9SrtOxClkbC6KrlnEwQ09Y
qUMHqnNIsWpn92Ia0vXOqTKaB4lhj8wZ1sDsyZ3My5scDO2bY6ba2TpSMIYTBJTnhhv+htwV/Hcg
mk+jVzukAdG3MEjUwLnBraD1/akLvMmJSEizfAyBq6tHtpVkV06pgldSg6zPNWvNiBQLCTd6d5tF
waEEL3EtLXazD8oaEidntvKCYLVt6/EVGpi6pUMSBvkKKRyvHR9CjY2e7wrNqLuYH6UK7VSbdDuf
luAd+OhaR7WaNiAlFepoRq4DoYIBBZ06oPodbppOq/MdlQz3YB608pqkgaJHrZhb+2JtWJq8xmmu
PXqkz7VQox2t+cqMPV2a7tSqqbD3Rdqjc+xqQ3ttvCTF6pSn4O2LpOyzmDQWyujSrwqaLIObufe+
nljNzqdMnMOMIN9rmtZ1hjg0p8hbZZfqgC/H3rnI0WY3EeHl/okooO6mwuPGONxKVRL2pVu6UYmA
Ca7a6gTfjKTKn2sego+z1QUi5HCD5lp4C4I5oSX1l9T35k/5iNl1j4XB+uIjeVrD0TYVwOR11j83
WUDdKkwE1awA9kdpGmjlEi1pb8aVNwRDpeX9lEVefCltnTdhgtO7M1pixnnHwn+oOpQlMbFq3sEm
9FhQC00at4XQR0oQA8h43JurJHLRaSQSE4LwgqgSOuce1WnrRUqNXO8Ca5jqncay2oSN1uOKQQFp
HU2Ao+Sga7jVwk2ZJvCjDt7HdurcPurmbZnKceDgWrE1PT1jsef6BgER7jGbcQAhtE6156H2l9si
oQrZ8USV4w4CGCrWZKLxjNBbczhmuUux7Iuqr3C11pZAQjxlCWE8jtkesCKwI86eMXtRSunih6s+
Aj3xtGx+7jmK/JDI/P/m0n8ZW5Tuf57ynA/TS67+TM/8/gN/9JVs/4ONEgpctQ8cyfdoofzRVrLd
D7DjDMPbeAibn4k54z/pmfoHgx8BbMts48dk6EdbyfQ/MPjl19GnAvqCKO532krf39efJ9hUuYzJ
PRJoEIl5/EJ6W3/Way2lN9i1NEXMSQ9wTIpTYohGHeUJ4qrWnavLNAgH/4nDbzoTxHRGNBYS6cRp
Zij3g8vOpwm963AwSNQKtD/ZeZu0xL+KjTLhsJpnyZkJ4pZblLD4Te2GZYJzeibmiCaAMUeSYKnk
cmCd6HA6Eap4xOY2f5U8ZFakJYSsk8cyGFZMAsR81pKoSMb46Bu3+DNT+im+QM9WmXRzA1tg+fKH
gdoToyVqcyGwcGo6GQfYAEZBDwMzwEm5+ayFhpD6JdmBrn9MlizHOJXXC5wc2j+xsCH9HCec8uw2
RS854TStT5FD72NXVkt+ra/qqlJwoGSe59+spNW3aBdNTTcFw5pP6aw56c6WyzQe8Siac+jY+c1W
nz0ymNUbiiz+sVGJ7VCI1/Zyx2EM+0nZaeTTuNjUvgU4CZxdlTaVd5aRg+OcsRxOhKRvjYzdQp5G
DKGbIpoUSAKy/GyR4iqFiOqEzkhfj8FDi3B6GDM8iZg3W7rdRnBs1slYD+WQWdktK+lAwZla6ijs
XCU3SnbWsJusWp3hYCAHsrBacT53XWN/IYc1N+lNKfOtgSzAZCAo8CeaSLrIs8J34ubufWIY1UUv
yXCkMYZ9Js5HSXCK8C2UvussvmZ4QkklBJrxTMNpOlaJ/N7PF1eOtbzYbuPFhOyRwmUpouQcTMmV
rJ68smLqwegOdnAK3CjVB7hKQ2FObEc2lSjqMzbHZb5WVUB7bGCmRu6q3jUpeyjFZziXfR4cinaW
f+Qv0A5nZPxv2qTfyTt/7pKCpttiM2hDbqNXPME/P0N2mwXcIusQizTP96mWuwcTq3rH+kyThh3V
HSdKGL6izrK37ONeD8A3N+7RmSxx3hStdys8RNSrL7JLEsmbj8t25UzcHL9QGthbx/Yv7xU5FNhc
kuQAUbx7r2pJ9LIqgbvrBPLSkrOS8ibJewLLCqsoiZoMXBI1SQ+r5FGY/ed5JY/23BIYL3akbowg
C6rGJiLNXuVWS09vrnLTN4pmi907aI4AD+17MytpgRW1ZOAGEaI9z8zGxRTUvLmFf2lNXnsFimHe
N1mNCBhnRhmnBGfho3eKWyFW9bkeA7dj324I2GgTOuIUYEbyiN5ee12oPG87268wMQYt7d7OEjTE
ABPQWZFZyhtLkvQwcALSydukev1FZ/y9oIxvGuwwcjXL5eBOdNc7CUXBpjpOmTmgN86duxYq9zOp
kx/LLDfhJVXq5OhpCY0vW3adi2sEVoX3wmG/v/Ewrpw40qiPiYFfuKzG5dzPtGzvdcQxL9ovxSXv
xvjbWwXkRDQDSzwSM+tdDz8YmwzrZ0NKMMr0J9qaBcxyse7bQTcPQYPtm+mGxxdvTr8SRv67J4OJ
CZlibH3IMt9rlYJAZn6NzSROZ8c9oTElFg+hWUxcj3jwtdG4smpT7ce8r/fLSjttaKm016ClfF7X
nV4Grwm10IVNbbQDdW6ezaVd/iJbytwEPT8/E8hgdC4OVHK0TPq7Z8IvyMcGFTLElU/pu8qqj4e0
T+4ZP7BtEPW8+YdxqIXrAniqQpS+4/CJHdkrn4N0s4Tlrv1s0mff0BralUy0focLrT66OF+Ps1cN
h7QxjVsjS7IfKNrfqrr+nxvWbSS4/1xP3b8M3/J//E/58iV/+XNVZW4/9kdV5TgfXP7CMATZybTN
n7QzhKsgCeex/Keq5p9llfnBYHrn8TWbJkzCLYfvR1lluMhqviuiHb5/kzLoN6QzSLZ/vqOQpqDZ
QUbGUBBIJ3rHn1fZFLxA1ROyQIOInKoD5s76NbfRksZEGDlns0PogilZWSNTg40SGthEH1dyL43T
SNJBQOOhrt5kbSz3aRqAdzFtVRypaoqDma09nlg9g13iTQx1ctAGbN60Avpi6VoCt2T67X9RdyZN
diLptv0vb04Z4ODA4E04ffRqQiHFBJMUEn3jgNP9+rc4WfdZ6kSaolSza1aWpqpKBQE43nzf3mu7
VaxOnIkfq8XnbAur45qgu97cCPoMT2lG7IBdpcYLwcnme6+prP3oojLnQX8RYwTDtMS4RCLxWBwT
VYnu1LR5/HWyC/llTfqCtOkV7wmQqLIw6vP8lMeoY3klN/zemB9JAmD/2KJL+El/H1VD0Q7jVunK
eXAjjLYCNe2moSfwjvmK8zyWJi/dsIcaDp0z0Gmi/O4c5q7Hd5YQHzxSUF3K7NSocnGuo24t6ed5
ARKOmmH2AY2ZPRwEdslm63WYU26TfEoPtejs2ww3Fom/led+5vSWTo+2q9vqtERZce0RXPcjSmQB
zaMwkW7T90MRYavicUrqlKgCC9znhzKLVTweq0pF+fdckf1NvW7IdVF+qjo146SOkD1KdfD9xYk+
DvCLYmKMmwaL1c4ZBq2Gn2MysXPA/G766EUhtZQ64hRu0S/UD7ZykTcFvLDYDnZolXTdGtuSJIvG
vJ1K16fAEi9ZGt+lhi4wHTO8DUxPrJmSKcrZ2FYVWLeIJ9h0LAP1v62pHbbsdmXql3E05rXA2Ge3
5KR07WlUmqPq4Ga1f+MvHZRsDNVDBMNpkk90R8D9ddJXw1YtU0wHb/SDr1q7+ONqNw+uvXZwsXsW
vbPQfmkr0KQRGmZzP0w6Ji1S2YRXaGEXt71TOMN76UA92Ky5dQ5wMFZEHILljB2oHYInWrT+R5+A
ljvZZIneU67O33ly8of3xKdU7mlEF9l9Gg1ffoqWIHtJzEo496oemucJM196QOcyhdWUFgRFc7Ye
N1Ndug8+CR35RjeUTLZSlXny2I30Ag4D0Re4Jr1q/C5bGunk0RrpvK3pZHzvVEKattesVKfInpZx
wwkB7ETvcra/KsZ8+dzTertVCQyk68XGDB6y26kxy0+pne7aCvzS1qjikVh1a5iAthCWCMrQDfaC
uvK7ptT2o+vOtkEssZq/VJoS+HYgjqymI6Hz/TCWwW71pVlXrB9zWC2TrzlsDeKjSueo23DqCR6z
ZEH/puo5ObX1PJrb0WjiCPjPqKYd4Ktx+Wr6tHB3rYDzHibeHDdXSYbX7Nhx7iI0uljTb6q4b+7R
xJlU/0gvXz6yUUjskP4+gqPRUpZzX9YpfANzFt5LO1WF3BhsV8BRjC1AASrj/alB7LJwECyTeZsg
RitRfslhn1orOTGi1whlCqMkbjxLJl+bvHSONSbFe8Tpg7MvKyP/EmmRzV1YBY4BS8SyeSkRp9Hr
GMwMbQ4vdX4sshEPjT3ZVwFbZpzyscp+ev5k6v1Y1ISq94E9640Hw4BYXKNI6yuE0c2W+PFWkjuP
Fbc0dVNv5zquPsGIsj8vyxlns/j1k+3Z7pfJ0r0JKkWm8daqZpozjRt1mqHiUWNvUsAnIX87TnYC
aFKyqVKH7Zqir0rYSxNtlzhW94uWwZPBxEpVK+Ab2ic9XtLaawKsJ8rqo03JGbig4Ul1P1SZWrAc
kDBc4bgr+xRZU4ojcjNHRiz2vTPU2yyqVX1VtYKqsHIxbxVu3AQH0dWxd7JVUHdJaJwPQJ1h+xUZ
x1XEcDoIPUaR3Ka0JaJ9P7QEN1NaMwd0jqsKjn6MLwGk4Hij84t3W0JYYDrBgwdmgj3Nc0nA1S61
lQDRoG2zM/xhW2Z1k9G3oG9kRA1OCFiGDrApt1QDFctR8Yw7PppxceQdIrqisjhcViajBWtkBxnF
cIjPDnMetr9LBSk/5XY6qyurs9JSUe5tc/KzDIVUkGXSuqnMarLNXaotfu4uiQeT6KXZoV/MNITr
13ZBaWXUleNyOvhOsZQRIkwdeRizY0oWeqcTT4zXpZtEkIFSkcspfzAc7O/o/5ygVLuss4zvbiJK
TbchntSNg7ke725lPdOpmvMPM0Lwbuv6eg62sd9WH1JqxsB00Ff0CBzcWW7MqOwhG/h1rG8iAUbu
mGEhno/u1HU/C7fqPhoQB6Zdz8kM1lTblD+SMinifWTJjg7AUijAZTTwntdW1fLRQHpQbdqiXFwg
Jc1cbUvyp7x7Oxdpcx07NiDYbDJRBcJaDKh5pERZ8QoKVDzQ9Tu7Pyh6LjwZvslObrvSH9zPQ+k2
CPPmVi79fU+4VRGCokI812Tl2O09ooJSsRlVRTh4nDE900slOEgssyxvEkyapzllYiGfdD19k+o1
uMvBrIA4QJpSk/2wwIMRawxismbXV1K+y6aYyg0tf/s57oSHzsSixrkRrZ91d6OEjk/fyL/vuaPg
U+zr2meScQbksxz4yYE0B1asHM8qEb8oo7Dc9rk1zvTyTffeJPYesqaG2RNm657/e2dFcb3xSz1+
KZRBPxsecnzngmr74DZRtPcSh2m0ndMEsbtjZyUmDcvW9rOVtnSymISc+rkGdfIZnkcKs6nKfaSe
2bTIU4npOX0XNEn1wZpN2/1kZBNsjo0x5IV9xUwSODBH5EinMraC9qcDfq79VPslNf06KwdK7LQG
XLLW8TBH1xSfHfOQNWOx7P1uzUPvo45gt03KF5FOm0I5SlzFjpl9b4qBtiLSUyB4CWNxfhjo4MbP
mlTf50yuZ+8lk/yiWVmv7xQtT7Or2QKnp1lQoP8YV4YLqK903b7cs1eMsEtPeto3eEeiGx1Ecnlv
+YAcPwK5MrPdourAQ7YRKPuZJjzn1nJ2qweYYt5zVjim2k1dbouDplmOd9yym3bnjlTfKHiXEPsb
ikwTWlWrTIdnnZnIWkYFgm0/+4EejgnacbEZcrLAYJ3FM/3UTBSfI8a2eVsm6LQOqDuW5NT7zeyG
vmxYGuTiZSUghaHnFoVac6LcLmhJK45dOs4QK5w9+7Dk1ppG+6kqpuzeRvv80aduN29cagiAuNUo
5k0HPwZGjMWSbNbsj7tkJkpP+gMQDpA3gpipPGifzKBvACUkWustrVvP2BULRcr73G36/N6yXKix
Oq+C45LORnc1B1g3SnvCZoi3WF+hafO/Rk1XDRvDXalOMDnHbcmgkR+MoYPoZUaeg6YknzWadzb8
EqbNMdIGzcBMO93P2nSnxwZJM+oAE2gmYoPm/cKnOu/F3DFEUwggG8ktnKD+FeBJU/Nd1C76vsWb
8+IlcCmoSaba3qx7yY2xGKbLqBdOD1rBYbwYY8Ko92MaO9uONLog7ILRtHcUDJbYCwdUY3JP/dq5
XhIHoM2qsk1eSlpeLniAPIJ36SQAX72yBMOnBiE/10aeXdf9ILowRpDeA56t6YGN+Rpm3KrZCeGx
kKfWs39M8H8XsmSfHbXejS/r5NawIgyadYdUL0T0bxabqtbeA7v24GtZ5oBuiH8EfCooWqH80nwv
CAdxNLPrHT6iJPH0cemT+UEOa8l4jp3sSGVJM/iTSAY7r2+nb7kJjP1UonNAN2wYQtFFtLw6NN1R
11f9pK1yt/ZZ6BBPTOxvGHBe+Zj+cqlSeqeGzHH04nSIzqWgXdpUmwnFG/XBxY0/gP8kAxHkAHQ0
iXNqYOcK6qmvjwsL+/jGb7D63/5W8bDXAiAaag7U2FUlmdq/nk9ZLMEBpkyUTWmCtTJKZx91c/fz
b6f2h79+3i/60currCPJggFA38P1seL9ehX6rBPm0qXc5E7AnJCzhfo5uSPPnMMQ76YnOWBC8APL
4fD7K/+jEXi1/p3LTuarWMmlWI9Fo1Fu3Gkh5c5TXUkGiEwDpNZjDbDBWNPjo2Xi+bOrY0KxlKSk
A9HH+YhrKmneqBi+fuIg8CkF+GiEoQtc1l37DJZr4RAevszC2VuS43wVzfG739/3P11F4JBbH/ZK
UL+oZOUWAnQPwMAG3ddy4qBEBL0TVW8UvC+rG57A/w4klDIKxUVaR7++V3fyOUZmfrXKIzqHCRwI
N6cYNT9iv47rN97l63vCcs8VPYuajeRH/Xo14VMx6KMRQFAVMHRm15l2ZtQMb9HJ19H46zfhm469
pp8RpyCFf3GdoTE1yx1fZRRVQ7avDZf9agTQECteU+1y0adv0eYvSrN8hnR6pDCJXpL4POTFZxjQ
G2RpxeuCQQnCbirFg5skw7WZaPnRXMbyO8vNtDENxukb4/HVO+RWcYqRX2W51LGti2+zRvJD99ih
rpAXIzP15ALrQUeIrJm+m/0GIPzSckgzB7f6mmRFRpfw7MuBaSMXL6HDsLcZBMtOH0yr1BsT+6M7
lGyzuL73LnIT95OvfACcbkt+Ttrk6efffyCvXjK/B9Mucn2cuZ59mS0wd2ZmC8NFAdf7654ELBBk
fRTc8QZzshQhzJs3R9aFeH+9eSy79PisdUKiE/zrCE4Jdllyf2QyQtjxqaw9K7Y2aRYgmCkqE9Ro
EPsL6pcckED5Rl7Fq/fs0kMm7g2fIfubV/MO1fb1TJyUm2Lwomu0tcTjpobf/YwThyPM75/uxcWo
twrAFXTaHNcBg3A5qEjvbAkpbWLqe+NLxKkew7x+KWw5vXGhi9eIORehPp8OaW/oJkVwMXrnTmoT
XVqCxKSrr1EQejm8avml6PJs2/qUJN+44MUktF6QVZKZlUozj/Lygk2Q9XR7YGDWvUchNnOHbfH2
9P3qtiTGZpbLM5kD9vPFQHH9tEgAcGGOygE3tUFmbRenS4CFjjakTHP6wxWaF8YF18vxVWBuuZxb
CZoY6gFJLuxRYT+j4sufJuY6SjUIwGIKUGBPmBH+eJRg4EZ3wH+Y2Z2LRSpZBco22rXNzGcRFmiF
MO8R/prZ+VtJAf8wICUIHI4XXDBwgovO7GiOs5lyCKAf2GTb84gs2J5ug3Vs/v6uzl3ev60f6+DH
jM/iTqIzDt3LLjAcYDfroGhjkOOOLMTaPgXQsR9uM+Uu2VVEZug7Aa4TjTpHrZAg4p6srKlcosOA
8ry4baypGHe//7VePwGH2QcvsGU6Jh2Ti4dd9YPfZF26iqM51kXAn0Cj6mwXrH/680sJPnuOyCzV
rx42QtVkAhmVbCw1PGLDeRxK/Wjy5z+/DJtX1i5SiWgtXtwRmi6nqRJK6D0mGY6e6KOcjPDXoG+L
/+LhoYtZxTmMVAbRxcStsQ4NmJ5AB5bzJklBwPpsPzbp+qff39XFGsHoWaE1AlYF7CSLteLXS1Fg
KQBRWfGGvU52pPrMZ0eqxQIHiE+ffkd86xrV8P33V704iZyvinYhIM2eAYKl/NerQjwzokx08YaJ
J6g3JmfNu9HV+j7oesZpkoxPS9oSuO7T3ul9Vb6xX/2H0YmpDSECRvOA+fziXXJYHn30Luv6PzT2
g2cW9jOESvYG0In5hX5/t6+vxq1i0kNbtfr8Lk89AKkaHXjA2VQ7o9c2KITL/vE/mAteX4jWHyQX
TPMAJFBa/PpYkcX78ZBgOcJAdv4SaKT9V18CnjP0B+umGF/g5dPrm3pKpavpe8hl2Ka8o09qInMy
Wf/0p48O5yENfFp4LLivtjAj+tlYWA2Prsuu1m+7NNOr/+bbZiA4Hp82p1IEaRcPrnBdzoiKvinx
K/U19dYXtLfVdZb0L7+/n1frOWYXRBEwRKAOcTi9GHhuYqQQXCl3ZFjtjs6K8Xz7bv7hIoj70D+w
1/ZfX6T3yjkljjTCD1VVH/B9dT/5opz9H98KkapM7STF0i293DSUY63oDE1RmA8ifsf6Ul2rXr91
snw9pL31ea0xSmgSaVn9OqTZ36apk6xK2hocztbh3oYDBm22zwHCqviPP1WugTIx4Kwc0LS/uFw0
d1XkYTTlcuP8WIzTckKPT6QmeQa73z+/f7oz6Qds8DjSgtS6GHNCLTO6DGYFHN3RtC2CtL42c47P
ZHhA7/39xV4NCYoAqGkwdwuMvK9OfHmZBTNFbyPMItPZG1RIdmbC4PvDq7CZI78tYGJgPLhnssff
svCMJW8Hh8uE6TrcOiquW9Kt/vjBcRUeGtW/dTlmzfp1SGg4w4Zs8wg0sKnHo8ZCPHBWLr33HAQc
9UbR4dXemKsh6mASOo+Ly13jpAVeshj+P6yPM2AcLQMgm/ezNdB/z2T8hiro1ZviesTeoy9hpWBf
dzFDmOSpKFrswRp+QlVSosuaAnj1f/ymuA42a0aDKV7tmSJOHHWmCFtKCiOar/GCchz0I6xub0VW
v74fn5nO9tmfUb15xXObe9y8TjryRZUKzxm9VPwvGc63t2J7z9CrXzbCDIl1Z4aeGLUN//x1XHQx
4UVGwrdbrHP3QFjtbRpF9rcSdQJEYbwVSAqa+r4JaH4ajiOKrRXPGXqPFlAGYBPYayENEtIGKmEa
1+YMeQa9Q0ctGxvMzvJmfaf7wX12awItN3lSdHeeVS6fkmCmdkDhc36UTo9uVZGClaOsyzgQjp6T
ondli4NjyuXwn+RSxae8o9NwpH/5pKJRZFdl5MZfOrefkr29Hn4ep7GN7qipdwLpv4s8DSB39zgu
jR/fdUQsO4BPTPGgEB8u2w6Bw00wWVgcfSeOYOXUgpwiXkzwYxkmWYbM5aMNX0NOxyWea/+uTzvr
OfMMtju+pymL/ukIA71KqotNBY2F9fK76Qq/m7I1u0jH7GG73KhoPL05jl9/nf55LaW7SNYdxMBf
33nE4wC7w/Lg+DXlJFFM0V0VaPaQoxHdWXOznP7stiAtctBCZLUK1wP7srZct2NBiQgXf63z7ucE
qOBQVEP8Bt/t8qPhKkykVDlXVp79qoyc+Ua6uMg/QhgfbMVTtlmLa5Qffn8vlysQVyG9NaACyERA
Se5iF44dxtaAniN697q+zroGZEtXRJwASvnmQeMfbokTGh8oBw42wpfbhTxrdFrX2gj1SJZdXbIs
xDQu/1rn/kiV+B+Qvv4zFsn/Ih7YWYj4G2XjKwDJKlz8N4AEZwdEW5ZGk2owizf/z78BJNa/fAvA
IMcWQSorO9f/7xSxAZBQyLUBaNqsVNa61P9b0hj86wwt4eeg2hOYT+w/0TTC/OIT/mVaX6lxiJ05
3DuM1cs4TQeRVr/0pM0wF8qPiRoUXA10OKtn2scn5/2ITcxfybavlq5pn51+NOx5RxpdOR9nAbRq
0y419jioT7i01V+e7cIJkiVA9bfgYYr+8naLv5zexMZg+87IH8EDXnIK6iA+K5yjdTpm1daIeolr
XKOrp3cZTcK+yzgP8aM1oQFMwHNt1jjOlSyt5BATNiO/xVGSzfne/8ulPoJXWz3reUs0Mt1pzOzF
2dhOnz9wNtXZ8J4GTWDWB7+W9UjEnD1hjtcueYItoUhn4zwFJe8ql0asix1hl3a7bf9y2aPFQOxp
qNV+n52t+PXZlj//5dHH8I1h3zub961lNfKrs6m/rlo8K/XZ7L84GtuGV7f4iRtGCMF2ftPfEo4B
JsB3cdxWYNSzvPkJFqqstxjsSrqWJt4N9Y00rkTdSVoybRUCy6wquk9tjn6HoFHN6mq5gnKQItQw
9JzJ9089bZ3851w7FSiz1I4DfW3SE8h39IlJDp3tAi0UpYT6KbJYIUO/NYYTlCcA5MQeTE3YFoV6
QO/oy3AKHP2B1+Xqx87DCn2tDMIaZyj8WiBq9HW6BbCCYNGmx3qdobgm301XWGXzeCG3I7QLWOMh
y/7SMrdX9ovbe0FBGlhLoSdnAOPaY3mHMzXMfXVVov+vd4nFvxhjW/Q2KqqFv0EcRBoRERqxvnLl
aD755mD6oUO1Ec2AazW9IBq89N7ViLN7BEAB4TdVTd9l2Jg9UqqwQldaUV5auGFLzdylN5D6hhSr
dLwtEAgPaUYuBgwxi2G7JLTFVgL2i10cRvGyiGIVqtopBogcja39e0lfw0Xf5Bti2uZo7F7GSCTj
wZOVEOZpsNxJfI3HXInPZlPHGBwGhcKPHHUif0AH1N0issOQj7i8J9R1qBCwL9a4xxthU7dNxX0V
TJC2WjQp8QZeGr/UktZNsakdiG6ozPDUUH4NmvmQ+4ZLbhWu2gdtud2Lo1vCepZsjWwi4joqNrNg
fx+Os8RlbsVD/MAXO33qSo4e9P46ohzTOcPYbvhjf4/wZ3WaJ+hcw2yIWpQvAyyFfaBF8yUQiEB2
tbajw0gUERCVrO2fQXabH7xocZ4Xc/Q+Qd4sWxDs5DQWLbl+Rx9e/nhDvJP24AGSm4EuwAzGLU0y
PPALxT9I9E3hjKC4bE+GQdmLZatMn6hfrzeJMYKZWp8ct6insDen4f266/1cuE1CJgkhgdam8WZ+
64rUrjr0EoAzymGKCT1zLsZjYzpzfdMuxrLHKFz4z1NikpAYdtiEsRuZhHBjrSfkDID+WKqVfeB3
1RUeM6n3TFUzaDHc/j1AHx9RLLLLGsvWuNRlQFBuhesdFFLGUTrM6zIDuEIx11ue+pxOwHujRzVG
0oYaI0LTZoywEyq1yVHObcz22kYkQZKj2orIJvcczJkbH2DSJp7FKM0R922d0bTa08TjII1pqEVK
kCHN7msjNpz+lNeu6m5nDQHxmu+WXIjRqStfbcdAge43oNih+rTN1kcH6w+V4PZQz8TfOc8kwzN2
tpaQjzHC5NqhoTCeKn/IMC5tiwY9BoJGY5rZENJsaqxvQK78JT/hYI9tNKaxYMNPRg+Ht0cg1u59
Gpdtx+7ccx5H8GfFDRQckitsObTtoSn0hCz+s62Iw94Eg1GJGZKiReaN+UGS90nB59rWabQgJ8/7
p6zLc+MGJ3mj31eptJpTkhDdBrigtpMPJSwlFOrQ8FAgCtCGocD5mPL2ex3sC9oh5HL0FEPex2Vn
ehufDIh3vtW59Ep0pEkGX4U8h2BGVLZV2VjeRYOiDV5x0vvqm2Tg7UvCCwivMZPyrnMJyeDBLXnG
R7UOSTN1AfQSdaXUphtlVdy6igQC6lFyRXUogeSbg01+NwDMYDHlRELWscTCcN+zN5wPyijK8dDN
SfQQ1XgsMW5RKjnVTmtSyJW9+tFJ2Xwm+GSZ96hNvdtBzQ0wmFitQ8M0r8q4dItwJOcsOy55hJ0r
ISnMPKWyY/WsWXftbWQxqew5fEkwj5omRbzJmmFO4Mz0w1ejLiEVBZOf3xqtreQeI3RDdiEeMvJc
TepJ4SDHkSGDnQamEpLQq3GuM6IP2HiCu8vLDk5RJ4yK/h2SM5/OcAkRKx59N936Xmxdp0LNCNE8
d3ymxUnG1dQGSbGPqgZgNct3z6xKvJi5SXzQMqBKovzK8WJnCudlgb68NnSPeR904z7OGvd5apKY
CDv4DQ3We8/qGwTj0IWOJmFKy3upukRuArbqSMUJBbpiQE16q4JplTkDo8AUrxps/JOZvMioUMgV
dT9f2UVU+dumtf16L5pmaO90FbVXsYjeF2qp+ZHlWNwFweAjXTTm6mupu+Yj/AHp76ZBRioPwZZW
4la5MWMsjSsOsbPEGLYlhCcyjlFn2/eOJDUj7FRmZfdFgrAKLszMzM/mAy+na4gvgvNQeqSEkv5w
ecs80DIT9uehtx39uBLR9MFA64u01AgSG2AFUP5D5Q1KHaveW5iDIF1gEkdsbO16og8b493kNqJ/
SSs48SP9Cc/ONqMZLLdEANnfEjXFH/A1QmMxEsv8HoFAoM0PwoTVplalJnsZjIs9rESXaGy9deED
9CJHy3xpnZX+gmMP/9lkiuU72Bj4MJ5blhl0cvKVUa+DkMnPNBn2cej8IOMLAF8uXsW5mytomuxi
xh3EM/sE2TNeg38csiez1Blukxi2Bu+tMR9bkGFkqZ0JNzEFgWZrLCv5ZjxTcKoBd+iG3BB++cxa
1Leyjb0+jFZ8TmDV/ZVsRfJkDMB1yM2Z7Z03r8ydoqmH2/RM4kkHz+clusvQ7dIzrQfrYnDqVoTP
sJYFuhXrAx7V/KzPrJ95EO5BnglALcghFdZ+3NqnfoUEjRqrbjit6CBzhQglblBHT+rMFlJnzlBw
Zg5NZ/5Q/ReMCMoAZCL7TCkyCs4K4o2q7KtTPiIGjii0i2g70DS+KJUGg3JRWZagXpVdl7yJhuZb
bZndO9BOIEI6NbTWn14TCjKnDlxe9G+p/l1Uk2xOTIPfpV7oWXl57YjGPyyg4nZzNC0YsXnYvz+M
v2qJcT16fZaw1wvKy+u5xkQuNUMdH0SMwXxeUDPbemdlS0BSBvzRfrKITtRoegV7xPvfX/3ydI7+
yAuQBFH4Xr1jZx3N3yq3AInmlebO7hmFzi6QEHAnu3r5/UUu6w2c3zyxtmhXYRysywv9YdbTP52Y
zAE9EZ/SzFI5zMGoPuN8qL/+N9eCYYD6Zy0GXhaGrAyQXVpLGAIlvs/YKJ/UGJg3mmDOtxRc5yrT
L0dUbgw6Pvo8cKuuc7bl/e3pGRbWl2JqwEwpZh85ewTsjKW5HFulaCn2dNcbdt1bNWXqyiuF/82g
/7BLBMYA4qS8dd1xniayc742RTVfLUZDCNXvH8jrN8zv6FEnk1gEV7HHr5WyIY5FTVyshN/l1zsM
QMXRMbJof77KH9Vf/rPiyv867+g66/ymwgJRniH6F7z99PJ//4+9/vv/RnHYmDxXYRJfOE5f2lj/
U2ER7r+QxAL3YpGQ1FjWqsz/mEa9f/EdAu7gb1pIKNZW1L8rLIKfRzMHrhSqJ0GgU/AnFRaKb+v8
+bfxC4mfrs1Z1kSfmsutc9Pfxi/YpXbKesPepMJYedUC5yIQZXOlWMORoBxesvY2aWeXX62y6iAV
rQBscWZhF0ShNSHSdJjekcxr4tmImSaJsJ5guANYq6A0xfwC12NuwNr2ksb/DhaVmJyp5TjShFr3
Pmxuyic9XCl3SN2TMKPokUkrD7bT0JrkfPZAClp8NDIBQ4OHXE7lNuiVpdIdvEJVfZdlRRcibFo/
CYCIcn6pqjur9KgGpF4/AXbgaDn17K6lLPjk+jouf4qyHeF5BSrId0qLfjqWBUlt7wkoJ6IMXrQr
tgrWMwnvSIkn96ew9IAww+71lN9qkCLmg490/FtGD8lS0LeQJk8hG/Cs/wTfTVcn4gBBq89sciC3
ZpFFYmswtL5i/+ZjBgpLY86ecQzNH4tMdvdKE7OLR3Njj1N89KDafe8M+amOxF0fD+GAYvHGLvrD
bJphNokfOk3eqWLExtpVHKArjRW3UpYZnoF7flbfEgA4Pi7A0pGqde0NLTWxc2tMO2Vg3PBrPUXE
C1OTaKDd587VkMXXcd9/ncY7JHX7qkquYbtvc0UqjelH8ynFMBm2TuK9l717E8TQtmz/xinm3dI7
kBgpfXUSY0jefJoXddvwhO1bA47b1dh29xybnGE7A7QMvTF5N8ZVto+hh4uw7vXVNHV3S2S7+85z
CG9EEgICbs4/L0493aEOc+5wJdyYnJUqBgatWmJW3A8jvyTmlvgTEG1xbBMjf1ey8QuHebA590TH
eOQgV05QB6k28Wgd57GHcr8hXJucRLiNB3TvHAX66KrIMiblGQcv8DAZHFFRmjfwVj8g0dvabfmp
yfsYSB4FsLzVbJmlnhrSwpcmeRxau76SkgOCNSs/wa+WXJvBD+n5MYBw1ytDB7XSJh8JKjEU1loC
K8EY7sboCq/IXVxJEMS1EM5HQKNGTBYnnuetRZhmGDAQQr9sjqnbvk9XBobnRdV+aKc79kAUH3j7
cP1qzm0maZN9QMBmsKnbpD66cn4/qProNQSbjktfHVjGHq1i3IM4AEsII/ZhtWlQlLecDbtMxgKn
xHV/256IFkWOp8ibvoUda/I/zldJoZfrqJLEaWn+AW6Vpht7wQeNqsc4mQq8ArYC8jdjkg+ttPlm
VeCiK5V+g0XrNBAxsxev0XmzwYvxtetccdOPzbRdm3pXa2bBtScb51auNhInn444tlURBlp18GEX
OLNz5MBVb8Z231Ua7GwpbuGAylBmRnQLGTjY2PiGttxV8GDDoh92aBohkDnd9DW3ipdRWNW+6Uvr
Dg51UR2JCZ5vsPZaBzLqKXvMCX8bqwSortE0dqNB4eDKi234cotMKItAvkXE258yux93lUZAtbcF
MjxoPeowY/BY0XgaxA3eeeVvlwA7VIjDdNA3NPuy8r5Uxk/L0Pdd0vyUETVmKJ8GOuy57j+yV/fB
fU4fOSs2G0vjvep7dDx1sfGZa29MArDj1vnMPqMwvpUC8i4hE2HrcyyzcPWnpCrQs4wq8b0L6LaS
MurfTYRd3Nq+dZfWTIU5yaL4EGrjwZEJJKHmLq0655psg1BT0rovhox/yTc0Mxo2enPoHbz/vM1Y
alYCYf2EHhMAleXoIQb1ox3L6GebeM9FYOzEAGovoJIA+auBKj9FT9Ew31pYnk8ABReCrfB+m1Gg
gD+Ku3otBwN9omW56UAvf60jo7qPqxFDrIuNunWIXKyyB2EMd3POUYV4Zx94h2cA69cUqBHI+khX
IY2RqwDfOyCPFRDttsnHa/bPt1j7BWzMeEV/T+aTpahYOdSqjHdWrNxrZBMFUw1J4U1Wf+CwtCXa
jP9C2R8e3iYw9Fb7yYgYzzwIp3HvCNDEgBxBhZMy8SnUKaYMORqYTNSGOQeybMeCEdcdB9LZ+0CR
9YsbjZ89t/Zu5uBTX6ljTQDvNKi14dbdLFDk5mw56UDqzyUSjdAL9Klqb9zlNMESHgp1v+7QmTlI
OxUuY79Wn+LWJO0kmvyNhc5kl9jwkjpk+zr9zkxH7GwSu7cTiYnvBfkdL2L4QbVyJ/iqIVN1HfBC
Joc5h6HeU8KEsdhH5Jh6drI1G3WfogAOC0qkz26H2iGgKpqI99L/2vTucEP6Cvbm9tgu0b1S3a1Z
6+7IES3CFabghmII+RbE+r6hEUFk7i12x6s5K97l9sk0JnxqZLxH0JE5ZsBngna+TUyylVN9Q2Sy
JsrKeJxnF2++ca96VORx1Z5KO/7B5DvGJy+S1cZ2E2K8nWKPXvnGN3421jsifUOcaXs2B08DbPMw
kxmU0CjYrYnbq4Lj4JRpkW5HlX9vmCfr5qMN52/MwiFxyAF+wauNJ6G+Z2+wNyGNme1thDN1AppH
7PRHpEh8ZhZTEU45I950nUU6d3qU/V1rfCiN9knpU4pwEhEzU3K0jZcfvjQ2LSVw6RlbPak9mMNj
Wek7uTD5PC8dNmdmFE+ytksSn/w7DlC3fLIP7Cc3BSVpEHpHRdtl1JD3KibjNNvmXXOI0+Gqs6dj
b6mD9L4XrXvvp+IhKcnTpTxUAtr2wByWxhfXuCmFQ8a5ApXmZyB5huC21Ous+JQX3pZOFfqjne28
tOb/Y+9cltzGtvT8KhmedHeEqYM7wAi7I8RLXpQXpcRMSaUJA5lJASBxIy4EwQ5HeOKH8NijHnjm
oWf1Jn4Sf5tMVhMglZQEdFX6hPPE6T4lZe0b9l577bX+9f8KdkrxbiHvYr2cd0sqrwlXGsNkrPbh
IxhanflV14ctduwUC5TWs270YYU2veZq78ibn6IeCytC931soSI8C85z45bQFohZQuowyU+Va+rq
SAUVEMZSSQTRdneGL4KPbPULncpwiJqSAQEj9Zza5ouVeqaTBVku1DPgFgM5ZrdQbkt6YvEOftDZ
wBwvzygDe18syaIYcxmatG4ccw07q/QDAqsEZ7QifEdZjXfulPilFrX78zS9jqYZZz/MvqSlpl5Q
xUvdqWGuiAgaYy/5oBTexyB5b7rT6HxB4HqQz1fvFSu9lJPFpZINExVWNoUw9YJooomJjGYfdXSA
Pi3V7uIcxJDVh6+DiuPpPEDP5xtxm9tud3nh8K/0Cq07KIJgROG71i9hVT+Hbwq22VI+DWbJJQJ8
MCHE5RWcx8S4fAniTwqYXfXC98+ibKpCO1bEQ/7b12cU6IeF+64oUnY35BsU0hi4PVMKFfqW4tqu
YlyY5vRz5MABhN7ICM65oQslmTr3kBhKRYLiTqHnMPES1LYpDVasT5qXD7rEBHor5UbLPszRY+pR
KjuIc9JWJLm4iykp9fqUel/JnkRlpMPCkEmYXrgmcU5p0Q9i69zzovJ05WTDMc5xiQ5zt2Czestz
34DR2qeMXVTKU3I+IHp3GnekL6qHr7lEsryMR4EWkVslv9Ex1ftUSj6Lf8tI/E/Scjby4KPt6rNr
c5F97MjSN+JX9yQPpr0ElwDi90Uf8UiNqH63835VhKO4HJ/O/elpsJxfS778rqMGsMvL3PUShfFL
ZSRr6f0SNhY1ekh9jpeJSk1nGlxKvsEOML7K6fK3LvXdVmJeO7k0NFbIV3uIBncU5yz04vtlNL7R
cv08jyhenebdgMdIqA+dTFLvCxNCDySIxkPd0kv+XWSPdQkSw4Xk9WHm9y8UTxua0CWgLYBinhMb
5SBwSJFNYTuBmv6UR4EH08jyjPqqr9nCS+A2W87P0W4cxHj086IcQg84zLM5xf4+yk3vuqH6G5iu
yxl7BVmLYQDlDJJExF09Km39pHtKLOCdEwa9ThDPHQiIz/Wc59TU/W1loW6uh2V6HsaSrUjqYKl4
xOYhIsQ6TseLHuIfSI5+g2jiHdzBA8iDbDPt3HXH5p3jL86MSO6FgU9BqbF80GeX447S7WkxqgmK
7ELI1n1vTBfLQUByaKyuLqeQLzsrnax1QRWvgZhzT9Pjc6iWsEIqnvI5/Czwfauw6aB5TwJxqCgB
ebEYisKoODXN8qNQy5BTDfh4eIVYT2+Mp4KVGc7T6Ks/gzaem72gGEExKcxcLCCZ96/isf7OXb2P
JJKr2hdKGYZq9s2JOsN8FX7wykXfg+AtihKcv2ywZI208L0EX0MQZtFAxzMeF3hVjvRhpcCqpy+I
qSzJI1s9iNcGUjAFVZ4A4ut8SrP3ZrgczXX3OiVULDt2gT85WJZo3hnG9cxdDKZZ8SlaqPM+9AzQ
3M46szvQk9wParKCOd65mULX3B97nW+GiqCPhZ7XIllRQOuUl4a81P2BD8O0xONl7j/OHNLgV2NT
x82TZuSYz8ZJWvIaUq3pZzOHRXpoaUt88RxsxKPveh24Da18ufoI1ba/7Idh3NXOTNJ71AIFpTQx
06nyKBeZ8xHKXfRYx7Jn2AiLBF+7pOq1vgrb3bdkHGLWwWZwvQRqtxxppW+q8DyW5fzaLbrTCzVD
m2/QgRsYDaSuPqeQW+qQf7KCmfx+wRuuQ6WlTEp+aqgJdcLjLLEl3oh4ea5F7T7swcC0Z+NxCgQL
Uhjx1HIcMqBK4H71rQjOqpRU1DtVh6K/L+U54eyurxC0h/ehI/WJ0GXOqanm5lCKxstT00jgxJzp
oU7ezZVvDGMZfYZ3Qr3OFVf6ClEwfHp5IPHm95UV9bpLIQMzhGNi6CY4yUKcNiPTG4AJ7HmQJM34
jQ75tzhIxuhkoUV/CS+Lj3e1IDc96FAsd48ImonpBkJ/A0u2FQ5y5KzGXH9l8kULcsFrmfhjOEbU
PDVOZwvPuVpZxTIbjOdT74aBFXdOJ4+vChh/qV+ar8xRYJpsGo/KirsplN93s3lXv4fps/iGVH0R
D1ZSAoZBdtF+Qx1M0ENCFMbLolhKXK9o003D07nm48ApkbbCcwdFSDJ7Tsl831nAGjUwMRhmX1vw
3OShnCCf6sf6HdpeCyxLuZhSyhzrRedqmoJk6KPiphunqREWCYduFcyG6ipEAE43PAiETTBp77W1
ENk4z8331txfEmaKo/wSzxLRspUsBMxmazEzbS1sljkFImeOJ09HcgZaCJdAyKDFHoR9vdRCHQ0y
/84neS2Z5q/l04qNlBrZv98AciOwhnwfYmsFsmvRWoANAnEPXgJZCjv9ci3S9v+joVm5jm4aBO+/
Hw39bRJMKvKTMOJto6G69kaH8pA4dJ1CT1vjzdh90nOYlH9nK3hFSPI5+inDpkcUVUC/1/LNPwUv
2xSr7MQ+KdAj44KiJW2imUXupRr7hK8cbSKdCEoE7KFzBht8Et+uZprrQauadTlUvr8k595z5mnH
u1J0stdnhHJW780VAJELA8dOgG6VzvxMUcM5HKbTVQZESAkwnWYQBr8hYwGNqCD5+gxCwPzNimYr
YgjjWfTZUju4xjnIZcRTAGR3zKKfO1FmccOrYmePE0uDxSxJ9HBO2GkGhuvzzEVm8F42HEJtjj93
1bjvwXzb+TbzBakyZ9SFtxSfxvVm5Lo7U4XHF8T7Kel/R+7gZ6OoN7uyxlOcuXkaovch5Z3i2i+8
0IXRWFK4UP1yShJbXVnprS7BM3nhlATXQrLbCSGguIQ6zbYEyqVvuYYK9WloepYLSLoz83uJOdOV
fglFmaucAVIoxldunmXEhMaSxxGE7kK3x5FuSXfjrqcvpT5YuBUhEo9EHwHHaTKNILlTIYP7Wi7T
ZXJPpHgJXiZZBpirIhwHhMRcStSIxEUwKAG3MtTyBjYjxf2A5lT36zIIlvHFeBkt3OsliSBo9wt4
scEAqHqnHOunDlOYKv0pjVH+RiV0DJY3sDwc27GDbONpoipzBcMXFRY7g+hanDjBqFvKUw1a+LFp
RpQ29hTEbOLFN0QFS64QqJdyRYPIK3bd+86GnY8S6wyuPkdFRoJHnp4t1QxJzDWdX7Tm9oNDBdY2
ndJNnKwAgpLgHFadxPtGMLijjBCHCtG3MFFE0eF9ux9LcWajXzHFcRT0gV3YnBHuFcyCcz+PpxdR
5ifBtekW6FhMBQMhCuWJeo54kYGsUxHIznnqIu3Yj1YaRKN51/9QUPoyyLTu/EMML7yPmwi4owdC
RP6gQit/gV5HMZzDb3SvxEX3SyYF8QOv6/dKEpufJWfaAeAyU7UPkZoEj4rlEN/W1Fyjtl/Kky88
Nbzk/RJA5ZdYWkqjuYPvF/I6+m3lKM614yhmCHGhrCf9ORnnhAB/eFp4nZEqeLUJXvqXpecDUNFK
PfsKZWT8wafE5KuiJcSkEOsBAR7mgkHNX6mnVsETPetQ+B4Uinc5C6XOqbj7VbhPLsZwgPSgT+TO
Xqo4nYH+baWhtsb1rMPyL90t/IxXbq4YV5Bl0ISmJB8dK/y4SCGAU3xt+Y0ncXJZlpEyjJDs7HM4
ZpSCSvlslAZphPTUUp/idSlz8UqeoeiKjMtMMi7NyIffa0ah5ewdGW2ze+l5clcdWEgPWaeL7jid
3fiSvJwOVSN2gy/sg2nxpJCl7vaDtBhLN4tF4M8Hge50jN+cKWIbvWm5JPRP4AMgHHzbkLmEKz/o
3KyW4xTqNbJW5nvknMk2EqkEIxatZu63mWoQbuiMjfjjwlh0b6EOSh4sGa7gHsUJMI9bywz1pxDs
3n23YyUGT8LOgkEkVD98gVsvDIeJtJCloQI2Nx5EJbDG27TIkFaLpnKW9iVHUr4UMkI4Q4rhSHNC
Wkgp5yyZzsxTV4s8gCipO0vewZYSTc+hdnfkIUVWPAKDlUuqEhhn4S4+q8bcWp6J/LDSRw526l7N
YwuB0/EySQF/gkAz/IlZhMr0VovncXyaqVGSSOcrSi1Xo64qZx2SO3PFvwSGEbA6Kdhbh5DlgrDa
zg13gHWmnmAVaHpSZ+RWNWhGgdNXLxIeY8pMR8+PMFJGKX1oTqVoEMdJ9vgL/aDvKESNqOeqM+fr
hbxcmeoCFVyiEg+xW5QPcuIujsAf6nXBYjY69UdUBpA8V4xauhiI8cI3qEARbpZ6rgZTD6oiP/yI
9seyN49nYPfGHIqXp1an6wBlSskIGA9qgmEJWoPadxORfhF2Lb6QKBYKlX7WWaIPGEiEDzRzhQ6k
NkW6S1LJ1ETz7hwHPoaRHZik+enlcdSBCmIYJggPQCcWptGoYT+oDzKpTiap4YTOZ0uaOldctbyP
rTK5eLmn/U2jwFqxRrWYsuAGqW4aC7vpRTKRygwBljsISuXTVVrKVy/3sj8f4kiQTUGJpFFDW6db
CM1guiBGh2pJl/OQdhU0Gp1wfEU+NP7pUwBlBfQyGitHxqXOfLCCR93RjXDc05MxlbSl/OQWirNB
GXyX+f7AfCgsgtOI3DgkJ1oN3OEbupS56Dz35p0xzo+j8XjKxlZ2q8x8pA5fXrwDnwg9B/YiGF4T
P7HmIPLoNhZgJ7vo2cy/dCTED1bOzDuyDw7NCD9U1sQeoGqqNqNYn6uwaRbdHghrVCp5t2azyxlw
b/yqCHjT4OfnBLBJoqIaSIiq4mjvnjOjJAPIIUTUykjzUyXJusNxZ3WMxkAMuuJa41DraA0Ii0gn
9RIws1t0Cy3UgG3pEZLqC3d2aeQcbsD7ORKy0tPLkzrQHc8CpE3WhbuaVTtLZmZB45caMPVNO97n
5VxTLzt+V7lM8m50o5aldqQydN9Eop9CJZMuqFl4y9QWkWKBqTRPSxBiXeJqfubYikIcyYBdvjSI
PymL4EiP+7uEHmUVlBaVN1Cp1WpDHQ89HQLFZg8YHCLU5nzZ44ro9hMJNsqXF/Pg5ITRUAHdIT5c
2/W6hvCcD80kohFLIlqzojilhDm/M60kOnXkqXdvpoW6OnLWDk2Qzc8pkFWofOSa4UVz3cGCgLen
tnBx1gFxMlTi2fw0jf307OUJignsbk5h43nycWPDhQdze20tTQcDiNMLKebCyS+9jin8zHRx/nIv
9T0peoESjcw4/4+TUHMKQgRmCWJADZv4C/dB0ImedUHQDLPSX7wP9M4z/uq7lvFgfxssGucAA1w9
2NOx45fWlGrlrjmFGFlLZme5p5VfFpiVvAc+OTiyjPv7BN9ApWSZAjHqveoF816+6ixMAwC1XACJ
RWwD11txzdmdBsfGuwRebLDRxpxE/ssLe7BfrIoEWhHQXR3fly0XclLmJPXmRaDd+XEp90OfVFSY
6NljKUuLUScinfFyp/t7hkIBwQgHPQBuQd0v0LwujLwp7A0Z8r7ATn1JfVBgrR283M3+KaDyk7Js
Sj+76EMotY/o43utKT6EyJh6gaDfEzYoOpt2IVv4hZ74JARc6MySxEh2gF8LaujKeSJ3e5Ekp7/x
nE7inrZKtXOdUOwxnp79vYlvTCCEElAwmcDdqp0tDSfJIR2ms7F/RpEV9R2p+Vg4anpGCOOnK2ip
nxVEXRq14NA+1SzJlNK18QrmPmIrC/QUl2NSFDoiki+v39ogVa2I6KarMyNRdm7WFhAS06XvhhTw
leNVMR7kRkHGNS+VvBwYnQjttkVpsaZT2BG/dBZWIuqDgKz01I5rolbJ8dARaXa1gDLpUDKPbKT9
/crohEtBlb8OmXhtdDovzXFKfQnc8sa8j36IdFoa4+WRRdg/ivBlAF3mttfYl3XGAlSw0LlGNa7n
UuV9FaGjfetIQovWSuNRSaHEF08z1J+kSeDaBQlu6tSrIqrB/KqbqeiY43wBux00qgvrzNXLYJCi
lX3EugnzXPm8FJfTiQS9ic75qNMHmj6osM4yRVKqDJNH3SvRXPZ80pN9DzqD+SABqta5QcA30K7g
kFGNI0u7d2Rklf9YhspXZIPVt5cJOgAJ3Zj+SSdcoUNJ2EJL5OX5MkSwq7fK4L1/eUeLLVGbMbQx
giwEJxqYdu2Qwsgcey5mvjc3KRO918bRGHbnKHe0ixX8Qt0j9+PeDgXvbvDw6ULJRr91ZL9CgYel
Uf3bkzPYCah1IskYLX/6khK9YFFx4ikikOuF7j4IRBSuVKECOktP1TCSz/SZBmN8pMh9cErx0xyt
gyPfbv8xK2MPdM4d7hPd10WIKE4dQ4dCLnDWBXoEJf0XqsE+hV3zxnLTOz1YPGhjt6+Zizs3MvJj
vQvvs/ohOfoUdIPoRVlGrR+QLFtlhVz6OukoPRl2NIhlUD/NYUXWl7fGnDAawk/TD2iuFmfQtqfn
aMYXc+3p5e1U+774jzJkr4JllPe8cISqx3QqR2HYVaHinZoh8KwMhi1i4cdoGQ/1Ap0YhkCFZxOO
m2ov0AqXq9hDolmngruPBnUMhGsmH1lS8X7YWVHBnKNzm+AB4KJCIFjzGL1QKTBEBYLewGcAxsLq
bANe8ZKhFarj4jwDZBQNoOMrpqclJPLxqbFIrfkRStPaARWjgDVROD445bwYhTXeubLRmo0tdxVn
sE87nY/cH2A94PpYolCeAGD+uXcpvYEvl6hsgDdRFvy71d4MAmVOuESxORMU8DM+AFDD2RRWa8Ms
rOng5d2y9harS6yR+uHMAFij7F+rXVhLeUVtlxxTAa1aHeQE5UU3LKicTM3ibAH8MHuHdENXGaRy
YpR3gLYVgAwh8XkgrX5nfqMl3RVSWjn5EcNOpLFsDrQFzF4DU3Hku4URBS7AWc+MZx9mlFeDvXHl
HEki0kZfkVRPpOF0JsfdU2Msw+Xdy/Cfoy/jqaRN7fVM/x+qk3ge6sDO7GGIUHf5IZ8k5cdJiqhy
uhWhEn97SzA2u4t+7Zdebui5XOKujCf/+T88EtPPxAgcL6rkDom97GyjP4a0Hu9LLfg208qfaFpV
3+CjUXAkHFw/Cp3nP9e0N4A7iW9yv69/Nh3tLM33Jv/yvDar+PLvvDTynSoSlRNXybOuR/Rzc8cg
wrwiXOCduUPTIUF2TtXX8w+GhI5e0dyFaWs0dcVAdw2/DUG07vqH22dnBXSJRDRlObzmNkvAAr2y
FTCafn1FfiPmhgtCVl38sMN3l8Dkr4nwUPTw2ubeeObWZubwEz7/VGauvBF/CpH8ZlnWC/O6Pj78
Ok33vyaWgCop2F03P5Ul0FWxBigrEb9c/3A8XtcSiKxTUwsAH4uC+/L8navbX+m+EZkKHgTPu0B5
bSsA0XjDJVDlNwRcTImETOXrq8YbXDrYTp+vPun1Wb9u48+vv4EwgeijeH6tfypLoMuQWHUR3iTv
uP55fUsggmTNTkD3DcEv+J3heD6wBJr5Bv+nyxMbRL34eX1egMo7rNES4P2R+VRk5C4qn5/iW3KU
KgSsWwP46k6/oFVrNHdcIDJTODnQUKx/sHA7979svRHPcpGg2/z1q3MD1tq7zZYAJx/WCAtPvzJ3
nH+dyw8U4fPSvL65i6xGo7mbb6AkID1CAfmhz8/9RxZDPAFe39xFEXqjuct8X0uw9tYefUwagA45
KZJWm5/XduzXYdBGc1e1N/ChisCxtJkiZn3n2KvdN+QrcHxYhVe6BHv44p999wplbaHdpD2vgAi/
7iwBF5+1xgnsGEaW/Ieevz/wS39EUFBn8J/WsRNvkh4KsXzvF7bRg/2/f44crGHYqmBRqfyqCKZs
et9EEcQ//3MltrKe5M5f/ieyyzv/WPnddO+Xnye/HtZzX7t/VJlqZWDbv9n+4bk3SezkEd3ldfjp
eVY3dkDApm+H9pO9S6chvIB/G+RetOiP0/JSq2fJBMIKW9DWbJoSSyjwc00bvp4svcdo245oFZd7
+48Ho1s/NN6RTeTt5JZ1SiYnDPvk2pvnEzbxtun1FpBa6Ok+9LLJ08kos7NJWmldiFU0XZ4+DSS2
f/I2mCTeY+WzcvosXJLv9sBgfmip+nbiPTxM7MrSEPIQOEni9EfaP7SB/7AF+wewGt77+b9/Ho74
etDZguLZHondQ1U/lBySkGnsncfq70WPrMGR33kNB/wtqnLVnQCOr/6dnqf8g1vgbZhhTrJas0AQ
9yzHT7ab1oh9QGU0G+kwT6J4sm1jbS4kuPG3f7A1GD83zJsoydyDR2x9R9SOwM+1/TZPxQGurQNH
t+FCjKL88JjJegups+qx/bkxvxcnoTpi8Lxg2YCg6ACGkNnDBWzWxy3pESeq94LqFZk5cmWkCpHd
kIRQQXUm+b8lOn7UwLFn7NpGNKBqW6N6YcYmhoWvR3ajcUc92+cMHbgKTABJhFJA5jE/HoyEFFro
7nqC/HqU2UH1UwmwSpeELsAa2STvCEapjc5sx00mD9uWxMkjNgJ8je0gHgSoJALH3v719hz+wtf6
4zo6uZlk7iQRTkflXhUpGQtUBwXM7BACELp6tNu/7pYiPITS7Y/cUjtrtXcL7Y7/381z7Nlugtu0
Xcy1cX3p/P3g5dIv4ySvfEF9z/btzP0HWz2zVzYnDXqdyngFBf53z/EPNn2R1HwhAQVt3Gia2BN/
2856bUWSrnGziT3ftrJuVCR8mzb6LkqeaksgYulNm73MC9vLtu2sRytitE2bvZo82GHVsecKbN7u
+6C2BiKj2HSwH7j2km0z6yXYv0jzf7vifnDHjuz8yTt5m9gP1atgHQFsOuTRYXpGXIqsPGDnf3DI
z88mMeaTYeAle68nkcJrOvTPkzQ76dnhbNuUWPE1lrNpy9+p0m64KDfRCZvuH9KT+kt7Le3RdMxn
Ec2ejPKHJxT5eENUjqLGXmnh0Nzl4cPJRbp3aZNBIGTWbcE4vX3IT67z1N79pM+tt2D7/+XjcDT8
+Gk4+C8nYvNMEhasvv9xsIRsHwBpkRwTcdKjC7d7fw/FJiGi9ee8ksXbsKn3UX0nv4o3sO8QD6ns
gRbMxdvQ4YjsbqyjH5alcSbRS5EzaLzSgpjcbrMiQN/0NPcmYdVXE6WJjRvNkzx88rYNCXOpttBs
37Wfdtvcf7DnP33nfZzE+YPPcyv6dsI74aQPNq0SRxRQ1qbrMZgE0SN3E90c76+FHdgnhJtEVWfm
uHU5vgn7CAklUdUJfym294OX+B/RyXVIKvxjjbYLL/bPi0/dH+3HjicnnybJUyXy82Jw4AdbHky9
ByIplR1vtHCPDJ0yrtyvAo/TdDdCo2xnEXbPP6H0LJxUbIrI0DfuIPGypNqsKbfQbOaiVFQ11wJS
2XS4dxz7MzuoOb2i7qJpy2f2Q/UQWi18vjO3dg3sxwDznzaD+xuB0H3zBej//r+yycnTP1wsKPWr
nDogb82bv5yEZWX3HggM//xaXHkPda+Awpjmo70i0Ja5lcsF9eYW2vUeaqsgQCtN9+416T/HTh9r
78w2rpFrGw7lrLodXoy+/aAVvrZ9u6jYYFSd21gJv9ZoC6f4mov0sZaxbOPldG3nWF+vGimTRUVg
8w0hWq5H9MEvttB0tBL2l9Tqtq11TMNoYRvfeLj4lVbbuDLWrVZvItQgtt38ejhjY4apYExTO982
t16L/WTMzxu2j7//ax7WSzsEKqPp1vjIy6QKFkDiq3mzo0n56E58f1LxOOFobKHpTd5rLwdKJXEL
jU/CiWNXorRgH1toV+AQ7JOrSRRWDgoiry00HgV7+cU2Itajw8K3DUNcyC9ULlJEolpYgt//R3SC
dvHv/7rGetwmv//P8NGr5okVtYW1Jrzl1VKJQESbT+DODld1A430UvOG7529Ay64ZJrajV6ezOAZ
Ozm10+rXFGWHTRsHx+TVfHqqR5u3OyQOAxKk4hKsSS2bDvjr3hsEiobm4/3qBQ/2Q1G1GG0kITbY
gf3zLTCzTdcCSv2TO5y5ihElWNq85bcP5aTy7UxBPgpKU1TYEowVLKTHevnr4rDUTxL1+nuMxJJ9
qzpUbXzr8AmuwcoLsQXfYY3FqY5VUJI13vIT3/HyYNuQ8PrayMIik83Cri+080mymjjRApNb6aUF
Y9ub+HYtPb+P0cp/OiyBfLUDrrAyXLWF4Q4mYWAnlXzemh65oVdykbAMVXBrG2+YYZrVIU6CeKzp
huuvJo9udW3beMMgPlFfBLOFB/OpnUSTQznBF3FJPxg5OAWr8Vi5Ia0WTvQZalpguaoRlG4LX+4M
ooAwnZTbPSBsheB5bLojziYJieNqs22sA6jv6uq28ejsJxF+WMU0cHc3X4TzPMTmVBYBHsbm7V48
7hmHtcpr0492kdl+dbSizrRpq+8mSW2DUabWQrNABwj/Vanp15x1TQd8ZaO4Ut0NbTxRrrzMzeuu
CSxbzZdi5EcLe1YfcgtrfOVh17NJCO6gmtqV23hWXeXLSUCyK3G2S7COT2ktmPjryH9iTSrt6i2Y
tesotOuh1haOCOHmrDrYNp5r34GrUii2XZdfDy+CUC/sqq1o42q+FYigp+3wNuHKFg7ILXj6vBZH
g8tz28+vL8NHQl21x4bSRrZLnGjgFJU9ASFn8wGP1lYz8cJqlKSNV8cormF113xWTY3xaGH7D3ZS
2RNwBLawEsXkqXp5UFbeRrNettqAxLeNrd9fbVx59zMBh644l0ob98f9pmLs0gudp6j6bGwjW/lJ
wFXYd33wmZU1aSVTF4VcUBMnqW7oNl41o0lSj/q1AT4AjDgRGKHrGpoXcqN2DDNlONf24+Sp/tKD
MLENf+4ySqNFZbVR79HgnNh+2183p7//N2H+Dz3NoOiT0S+AllS1wJ4KJuxj3f11obVDBSFNA227
sxEL/BJa888Bcq6r8ZpO6xUiOQ+WHurHK3N3v9DwT4XUbgpvm36K3fEf32EbiF+lXnY7gBfBpxPf
W9VusGMH+UfQhGlmn3yslYu2kqLxT0a2v7CJ/m6HKa5zswVX7Azs3IRMacXJ2y9wzX861HkehU+i
wnB3wADSt//46+b5hgVObCevjBh5nOYt3wJEC6rNHo9C7W7YP/nACXTYdru/VOi98/H2Suheoen7
5oAIpBaj6pm08E56i0v8YHvTasMthN/fJogTVt9JLYQPqNBxfPtpkrrbrb324VtYiOvSFvmCSrNt
DBjFveratgEC6IG9r2Y41RbGCqT8IXqqfrM24mujxDu5orSqYkbaeL9wwKtprjaCXxhp5+RS/J/R
24+720FuA+90QboynNSAITJ1v42jubRc/XRIvjVv9Z0dV7cvilDNW70sE8jC6+aMDH3zpjcMDZdR
DZwOwX/ztjdoiANtt5BAuaRKeebuL0kL5/rKrtZz8FJrvhY8ZO1o74joLawyoVyKq2p7uQ2XkWDu
k7eoIg0RYGhjLXy7rJ/pNso4biZxFWMoC22jScMU9i2+IomqQ6/5tWpD8/Zne64KAlAtDByaLy+O
ibRVXOiX2SR+MD08IsZmx5iN7TDXjoXcwu64c22vHjxXlBbO9Z099fZXGqjTdgq//qC4sz3wvtt2
Nj5WGyMGDCjcwrqZU9qwSPerh8mB5Wgja/XJm2S8gyrr0Yape091dbQ4ucgopoxP/nYypGYryvLn
k7nbnawrUgsf4LnDyzy0Uxf83d9Otv/TO9Qp+lst+BCjmLpIvzxkbyC7acP3ufaenojdDu002120
DaPK9+0lVuSHeM+eV20klLzx5lm1P/7npoB9t1OosODSORoEPR474bqyS5sPlHj+//mv/z2diX86
S0qKdhjBOXVngb39ahV7CGWUobZRdXTnUQvaoaapWshjIpgGnfN20r9uZUYTHgWz7XZP/zbw7Kjk
veSdfKC22K6GslGhWguMNb2dBtHsKWIB7+wZz0ivGtxApQLepRY+3qWde4lXQZ/JErEeWKCbr9ut
3fG9ziPArk6a5tv2hJV+7qOFkBL5SOdAyy3YoCs7ztyaW7NZmqMX118XWPqD5bBpcGl3Cv9uwdy3
Sf5QeW234JbD/OcRYVyjTHt28kDNx+7+aOFVCKlC7vnVsGsbDpgYLXHiio1sI98miophwiI+Wmm6
jQdy3y7BLxy6MdtwZ/q13dFGBeUgCiiYqLJNtuE8bNs9TBnQxusNwto6D24b7DNkEZ6gkc2rtUVt
1Pidw43l7Z49uY3L+B37uPb94HXedvPrl/y1nYhSmnrhp5ACbnqVEynIUlEvV/H6UCNq3vQt8Nss
EpmriheC9FzztjeMw5delqVra3ozWXhVC9KGq7/p5Sp/rEZSlFYsHzgl78l+Wg//LnqAn3O7LOu3
opCca/px73grbtanz76M0kPGEGGR5h1tFuqTBzocImgBcxAkMRursBdqaKPsvieqt1P35JOXON5B
Iw9tVPN53Y9e7KGFjdwDdFnjfEB8uPnI+yRJiS5uG1pvqTZKukd21StShFhF031K4Cg7GeaENOol
+aj+tND8mp4cFyZzf/9XfxKU2ybFqujtlBwzgWubHqqoO+rl2ohhbo7X5hY4+cdNFcY/7U5ChZv1
6INl120e/ukYjr/LnDJbdo9uug0kKxmYb5E/OxBPMkDSQRWPUC24NMuCMvvoc/Kv++4bduymz71X
iCVIHGHyqonTNoJwPZI2tfKMNnCTvcReVWuE2+AB6JNKmOxaoTbiZf3Ij+ocU22EiYePvCWqOKc2
lC9Oefg8uoIgrMY21UYdwqntz76LGW3BazvLAWxUIhDEvrYf9NdfKyOirUT6K1tDbqP8UCTdCJ9U
rm/ZasFBuJ0k+Xbe6xDgcaN6PPZ8n+T1wSLwuu3m15f3E4jwFeoqlQ8HQfuxlv+6a+CQnMHf4aWw
EY2BwtYOosrHacPD7FFzWg8XtvDAGQlzGx18QLWBJOlH4tX5j5cTkLGh80+H3p9tvAbXgBXBHoyL
LAzxoX7aqJDrR9HWJ6sEG/SjUffj5uLUm3rbIyxsUBsohVOqgATX91YwaV2Z4T0m+/CpF7WHfjDF
93wXUuZW7sGz2sDRPre/RhCJjy3CDH9o6Qh03FPlo7RxMRCArGSs26CPP59Q8fW8Q9dzuH4cEATw
t39WmcRaCL7p8/qSNNoDT+vd7SW3QdDUdxNwCMTuDzxU5DYIKG4mxUnf9g+U+7RRA3Xj1Zj02qiA
+mSHYN+r7kQbMZIbGAurrbZxZsUCf52QJa8VplrqdrP8uqNy62WPxLYOXi6oALXQgR2TTBNTOMDL
2k6S2K/zC7bgbXJJpSRvD4PH2qiR2ISLzic+SZn/ePI2JSibwme4iTSLE0taDABEPw/dip+COFPz
j3IXzfBNKztVacOVuAPSWB1tG3DUu5wS3NpgW9iZn/m83ibyfppnIIW267qOw7aRK9xzMpU2IBd9
gQ0UWZvtod0dt06Q0TRRg9KpiZQAebRRFP9cnjtaCzqiGxlGycn7HKgT/uJBN84U8BIJSQiLKBj6
aMeZuP/Ch88BhbWmD5/d2Qjb/NfXSh6Sd/tzZ7nxrkU86g8F2+0AXqrXO5tEZI8qZ9NqwZP/mKc1
ILPSRnL57vf/DQ1kOdk9koj3bf/xe/f07n75c6P+h3T4tp9l/a2et+8L8d29urLd2byO3X9IAPDv
cJYH1Adf2Sx3t8Z2o1d1rMVvPPo8v/75/wIAAP//</cx:binary>
              </cx:geoCache>
            </cx:geography>
          </cx:layoutPr>
        </cx:series>
      </cx:plotAreaRegion>
    </cx:plotArea>
    <cx:legend pos="l" align="ctr" overlay="0">
      <cx:txPr>
        <a:bodyPr spcFirstLastPara="1" vertOverflow="ellipsis" horzOverflow="overflow" wrap="square" lIns="0" tIns="0" rIns="0" bIns="0" anchor="ctr" anchorCtr="1"/>
        <a:lstStyle/>
        <a:p>
          <a:pPr algn="ctr" rtl="0">
            <a:defRPr sz="1100" b="1"/>
          </a:pPr>
          <a:endParaRPr lang="en-US" sz="1100" b="1" i="0" u="none" strike="noStrike" baseline="0">
            <a:solidFill>
              <a:sysClr val="windowText" lastClr="000000">
                <a:lumMod val="65000"/>
                <a:lumOff val="35000"/>
              </a:sysClr>
            </a:solidFill>
            <a:latin typeface="Calibri" panose="020F0502020204030204"/>
          </a:endParaRPr>
        </a:p>
      </cx:txPr>
    </cx:legend>
  </cx:chart>
  <cx:spPr>
    <a:noFill/>
    <a:ln>
      <a:noFill/>
    </a:ln>
  </cx:spPr>
</cx: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9">
  <a:schemeClr val="accent6"/>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7">
  <a:schemeClr val="accent4"/>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image" Target="../media/image3.png"/><Relationship Id="rId7" Type="http://schemas.openxmlformats.org/officeDocument/2006/relationships/chart" Target="../charts/chart4.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3.xml"/><Relationship Id="rId11" Type="http://schemas.openxmlformats.org/officeDocument/2006/relationships/chart" Target="../charts/chart5.xml"/><Relationship Id="rId5" Type="http://schemas.openxmlformats.org/officeDocument/2006/relationships/chart" Target="../charts/chart2.xml"/><Relationship Id="rId10" Type="http://schemas.openxmlformats.org/officeDocument/2006/relationships/image" Target="../media/image5.png"/><Relationship Id="rId4" Type="http://schemas.openxmlformats.org/officeDocument/2006/relationships/chart" Target="../charts/chart1.xml"/><Relationship Id="rId9"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xdr:twoCellAnchor>
    <xdr:from>
      <xdr:col>0</xdr:col>
      <xdr:colOff>336625</xdr:colOff>
      <xdr:row>17</xdr:row>
      <xdr:rowOff>114300</xdr:rowOff>
    </xdr:from>
    <xdr:to>
      <xdr:col>4</xdr:col>
      <xdr:colOff>241790</xdr:colOff>
      <xdr:row>37</xdr:row>
      <xdr:rowOff>328</xdr:rowOff>
    </xdr:to>
    <xdr:sp macro="" textlink="">
      <xdr:nvSpPr>
        <xdr:cNvPr id="6" name="Rectangle: Rounded Corners 5">
          <a:extLst>
            <a:ext uri="{FF2B5EF4-FFF2-40B4-BE49-F238E27FC236}">
              <a16:creationId xmlns:a16="http://schemas.microsoft.com/office/drawing/2014/main" id="{E0FB6C6B-0251-4C51-826C-22C74EF77482}"/>
            </a:ext>
          </a:extLst>
        </xdr:cNvPr>
        <xdr:cNvSpPr/>
      </xdr:nvSpPr>
      <xdr:spPr>
        <a:xfrm>
          <a:off x="336625" y="3352800"/>
          <a:ext cx="2343565" cy="3696028"/>
        </a:xfrm>
        <a:prstGeom prst="roundRect">
          <a:avLst>
            <a:gd name="adj" fmla="val 4518"/>
          </a:avLst>
        </a:prstGeom>
        <a:solidFill>
          <a:schemeClr val="tx2">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600" b="1">
            <a:solidFill>
              <a:schemeClr val="lt1"/>
            </a:solidFill>
            <a:latin typeface="+mn-lt"/>
            <a:ea typeface="+mn-ea"/>
            <a:cs typeface="+mn-cs"/>
          </a:endParaRPr>
        </a:p>
      </xdr:txBody>
    </xdr:sp>
    <xdr:clientData/>
  </xdr:twoCellAnchor>
  <xdr:twoCellAnchor>
    <xdr:from>
      <xdr:col>4</xdr:col>
      <xdr:colOff>371475</xdr:colOff>
      <xdr:row>11</xdr:row>
      <xdr:rowOff>35702</xdr:rowOff>
    </xdr:from>
    <xdr:to>
      <xdr:col>15</xdr:col>
      <xdr:colOff>376658</xdr:colOff>
      <xdr:row>25</xdr:row>
      <xdr:rowOff>85726</xdr:rowOff>
    </xdr:to>
    <xdr:sp macro="" textlink="">
      <xdr:nvSpPr>
        <xdr:cNvPr id="13" name="Rectangle: Rounded Corners 12">
          <a:extLst>
            <a:ext uri="{FF2B5EF4-FFF2-40B4-BE49-F238E27FC236}">
              <a16:creationId xmlns:a16="http://schemas.microsoft.com/office/drawing/2014/main" id="{951C47ED-B0C7-4E58-96FB-7BE36C114807}"/>
            </a:ext>
          </a:extLst>
        </xdr:cNvPr>
        <xdr:cNvSpPr/>
      </xdr:nvSpPr>
      <xdr:spPr>
        <a:xfrm>
          <a:off x="2809875" y="2131202"/>
          <a:ext cx="6710783" cy="2717024"/>
        </a:xfrm>
        <a:prstGeom prst="roundRect">
          <a:avLst>
            <a:gd name="adj" fmla="val 4518"/>
          </a:avLst>
        </a:prstGeom>
        <a:solidFill>
          <a:schemeClr val="tx2">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600" b="1">
            <a:solidFill>
              <a:schemeClr val="lt1"/>
            </a:solidFill>
            <a:latin typeface="+mn-lt"/>
            <a:ea typeface="+mn-ea"/>
            <a:cs typeface="+mn-cs"/>
          </a:endParaRPr>
        </a:p>
      </xdr:txBody>
    </xdr:sp>
    <xdr:clientData/>
  </xdr:twoCellAnchor>
  <xdr:twoCellAnchor>
    <xdr:from>
      <xdr:col>15</xdr:col>
      <xdr:colOff>447675</xdr:colOff>
      <xdr:row>10</xdr:row>
      <xdr:rowOff>181782</xdr:rowOff>
    </xdr:from>
    <xdr:to>
      <xdr:col>25</xdr:col>
      <xdr:colOff>57376</xdr:colOff>
      <xdr:row>25</xdr:row>
      <xdr:rowOff>76199</xdr:rowOff>
    </xdr:to>
    <xdr:sp macro="" textlink="">
      <xdr:nvSpPr>
        <xdr:cNvPr id="14" name="Rectangle: Rounded Corners 13">
          <a:extLst>
            <a:ext uri="{FF2B5EF4-FFF2-40B4-BE49-F238E27FC236}">
              <a16:creationId xmlns:a16="http://schemas.microsoft.com/office/drawing/2014/main" id="{86362C56-1006-46AE-BFE1-DB87F0972CDD}"/>
            </a:ext>
          </a:extLst>
        </xdr:cNvPr>
        <xdr:cNvSpPr/>
      </xdr:nvSpPr>
      <xdr:spPr>
        <a:xfrm>
          <a:off x="9591675" y="2086782"/>
          <a:ext cx="5705701" cy="2751917"/>
        </a:xfrm>
        <a:prstGeom prst="roundRect">
          <a:avLst>
            <a:gd name="adj" fmla="val 4518"/>
          </a:avLst>
        </a:prstGeom>
        <a:solidFill>
          <a:schemeClr val="tx2">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600" b="1">
            <a:solidFill>
              <a:schemeClr val="lt1"/>
            </a:solidFill>
            <a:latin typeface="+mn-lt"/>
            <a:ea typeface="+mn-ea"/>
            <a:cs typeface="+mn-cs"/>
          </a:endParaRPr>
        </a:p>
      </xdr:txBody>
    </xdr:sp>
    <xdr:clientData/>
  </xdr:twoCellAnchor>
  <xdr:twoCellAnchor>
    <xdr:from>
      <xdr:col>4</xdr:col>
      <xdr:colOff>304800</xdr:colOff>
      <xdr:row>25</xdr:row>
      <xdr:rowOff>150642</xdr:rowOff>
    </xdr:from>
    <xdr:to>
      <xdr:col>10</xdr:col>
      <xdr:colOff>228599</xdr:colOff>
      <xdr:row>37</xdr:row>
      <xdr:rowOff>28575</xdr:rowOff>
    </xdr:to>
    <xdr:sp macro="" textlink="">
      <xdr:nvSpPr>
        <xdr:cNvPr id="15" name="Rectangle: Rounded Corners 14">
          <a:extLst>
            <a:ext uri="{FF2B5EF4-FFF2-40B4-BE49-F238E27FC236}">
              <a16:creationId xmlns:a16="http://schemas.microsoft.com/office/drawing/2014/main" id="{8BEA2FB9-7EBF-4687-A9F2-8C85D8FB9C5D}"/>
            </a:ext>
          </a:extLst>
        </xdr:cNvPr>
        <xdr:cNvSpPr/>
      </xdr:nvSpPr>
      <xdr:spPr>
        <a:xfrm>
          <a:off x="2743200" y="4913142"/>
          <a:ext cx="3581399" cy="2163933"/>
        </a:xfrm>
        <a:prstGeom prst="roundRect">
          <a:avLst>
            <a:gd name="adj" fmla="val 4518"/>
          </a:avLst>
        </a:prstGeom>
        <a:solidFill>
          <a:schemeClr val="tx2">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600" b="1">
            <a:solidFill>
              <a:schemeClr val="lt1"/>
            </a:solidFill>
            <a:latin typeface="+mn-lt"/>
            <a:ea typeface="+mn-ea"/>
            <a:cs typeface="+mn-cs"/>
          </a:endParaRPr>
        </a:p>
      </xdr:txBody>
    </xdr:sp>
    <xdr:clientData/>
  </xdr:twoCellAnchor>
  <xdr:twoCellAnchor>
    <xdr:from>
      <xdr:col>10</xdr:col>
      <xdr:colOff>285750</xdr:colOff>
      <xdr:row>25</xdr:row>
      <xdr:rowOff>155328</xdr:rowOff>
    </xdr:from>
    <xdr:to>
      <xdr:col>19</xdr:col>
      <xdr:colOff>411774</xdr:colOff>
      <xdr:row>36</xdr:row>
      <xdr:rowOff>190499</xdr:rowOff>
    </xdr:to>
    <xdr:sp macro="" textlink="">
      <xdr:nvSpPr>
        <xdr:cNvPr id="16" name="Rectangle: Rounded Corners 15">
          <a:extLst>
            <a:ext uri="{FF2B5EF4-FFF2-40B4-BE49-F238E27FC236}">
              <a16:creationId xmlns:a16="http://schemas.microsoft.com/office/drawing/2014/main" id="{7E12688E-44AB-428E-A348-6CFA82EE218B}"/>
            </a:ext>
          </a:extLst>
        </xdr:cNvPr>
        <xdr:cNvSpPr/>
      </xdr:nvSpPr>
      <xdr:spPr>
        <a:xfrm>
          <a:off x="6381750" y="4917828"/>
          <a:ext cx="5612424" cy="2130671"/>
        </a:xfrm>
        <a:prstGeom prst="roundRect">
          <a:avLst>
            <a:gd name="adj" fmla="val 4518"/>
          </a:avLst>
        </a:prstGeom>
        <a:solidFill>
          <a:schemeClr val="tx2">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600" b="1">
            <a:solidFill>
              <a:schemeClr val="lt1"/>
            </a:solidFill>
            <a:latin typeface="+mn-lt"/>
            <a:ea typeface="+mn-ea"/>
            <a:cs typeface="+mn-cs"/>
          </a:endParaRPr>
        </a:p>
      </xdr:txBody>
    </xdr:sp>
    <xdr:clientData/>
  </xdr:twoCellAnchor>
  <xdr:twoCellAnchor>
    <xdr:from>
      <xdr:col>5</xdr:col>
      <xdr:colOff>38100</xdr:colOff>
      <xdr:row>5</xdr:row>
      <xdr:rowOff>180974</xdr:rowOff>
    </xdr:from>
    <xdr:to>
      <xdr:col>7</xdr:col>
      <xdr:colOff>180975</xdr:colOff>
      <xdr:row>10</xdr:row>
      <xdr:rowOff>152399</xdr:rowOff>
    </xdr:to>
    <xdr:grpSp>
      <xdr:nvGrpSpPr>
        <xdr:cNvPr id="133" name="Group 132">
          <a:extLst>
            <a:ext uri="{FF2B5EF4-FFF2-40B4-BE49-F238E27FC236}">
              <a16:creationId xmlns:a16="http://schemas.microsoft.com/office/drawing/2014/main" id="{6C00834A-B09E-F0CD-4DD7-4AA2EAE75824}"/>
            </a:ext>
          </a:extLst>
        </xdr:cNvPr>
        <xdr:cNvGrpSpPr/>
      </xdr:nvGrpSpPr>
      <xdr:grpSpPr>
        <a:xfrm>
          <a:off x="3086100" y="1133474"/>
          <a:ext cx="1362075" cy="923925"/>
          <a:chOff x="1734401" y="1150100"/>
          <a:chExt cx="882161" cy="688732"/>
        </a:xfrm>
      </xdr:grpSpPr>
      <xdr:sp macro="[0]!Refresh" textlink="">
        <xdr:nvSpPr>
          <xdr:cNvPr id="7" name="Rectangle: Rounded Corners 6">
            <a:extLst>
              <a:ext uri="{FF2B5EF4-FFF2-40B4-BE49-F238E27FC236}">
                <a16:creationId xmlns:a16="http://schemas.microsoft.com/office/drawing/2014/main" id="{698F53F2-E2AA-421E-B3E1-C8C63286F475}"/>
              </a:ext>
            </a:extLst>
          </xdr:cNvPr>
          <xdr:cNvSpPr/>
        </xdr:nvSpPr>
        <xdr:spPr>
          <a:xfrm>
            <a:off x="1734401" y="1150100"/>
            <a:ext cx="882161" cy="688732"/>
          </a:xfrm>
          <a:prstGeom prst="roundRect">
            <a:avLst>
              <a:gd name="adj" fmla="val 4518"/>
            </a:avLst>
          </a:prstGeom>
          <a:solidFill>
            <a:schemeClr val="bg1">
              <a:lumMod val="9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600" b="1"/>
          </a:p>
        </xdr:txBody>
      </xdr:sp>
      <xdr:pic macro="[0]!Refresh">
        <xdr:nvPicPr>
          <xdr:cNvPr id="22" name="Picture 21">
            <a:extLst>
              <a:ext uri="{FF2B5EF4-FFF2-40B4-BE49-F238E27FC236}">
                <a16:creationId xmlns:a16="http://schemas.microsoft.com/office/drawing/2014/main" id="{92A84BF6-B816-49F4-18C5-9C3D390EA4C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2072" y="1214022"/>
            <a:ext cx="565636" cy="564170"/>
          </a:xfrm>
          <a:prstGeom prst="rect">
            <a:avLst/>
          </a:prstGeom>
        </xdr:spPr>
      </xdr:pic>
    </xdr:grpSp>
    <xdr:clientData/>
  </xdr:twoCellAnchor>
  <xdr:twoCellAnchor>
    <xdr:from>
      <xdr:col>13</xdr:col>
      <xdr:colOff>409575</xdr:colOff>
      <xdr:row>5</xdr:row>
      <xdr:rowOff>133350</xdr:rowOff>
    </xdr:from>
    <xdr:to>
      <xdr:col>19</xdr:col>
      <xdr:colOff>152400</xdr:colOff>
      <xdr:row>10</xdr:row>
      <xdr:rowOff>133350</xdr:rowOff>
    </xdr:to>
    <xdr:grpSp>
      <xdr:nvGrpSpPr>
        <xdr:cNvPr id="130" name="Group 129">
          <a:extLst>
            <a:ext uri="{FF2B5EF4-FFF2-40B4-BE49-F238E27FC236}">
              <a16:creationId xmlns:a16="http://schemas.microsoft.com/office/drawing/2014/main" id="{2FBFCA1B-04DD-3CF5-F6EB-3E3E0B1D791B}"/>
            </a:ext>
          </a:extLst>
        </xdr:cNvPr>
        <xdr:cNvGrpSpPr/>
      </xdr:nvGrpSpPr>
      <xdr:grpSpPr>
        <a:xfrm>
          <a:off x="8334375" y="1085850"/>
          <a:ext cx="3400425" cy="952500"/>
          <a:chOff x="9516132" y="1159473"/>
          <a:chExt cx="2025868" cy="716019"/>
        </a:xfrm>
      </xdr:grpSpPr>
      <xdr:sp macro="" textlink="">
        <xdr:nvSpPr>
          <xdr:cNvPr id="18" name="Rectangle: Rounded Corners 17">
            <a:extLst>
              <a:ext uri="{FF2B5EF4-FFF2-40B4-BE49-F238E27FC236}">
                <a16:creationId xmlns:a16="http://schemas.microsoft.com/office/drawing/2014/main" id="{CF36F9E8-F096-4745-82CF-CD0FA5D22772}"/>
              </a:ext>
            </a:extLst>
          </xdr:cNvPr>
          <xdr:cNvSpPr/>
        </xdr:nvSpPr>
        <xdr:spPr>
          <a:xfrm>
            <a:off x="9516132" y="1159473"/>
            <a:ext cx="2025868" cy="716019"/>
          </a:xfrm>
          <a:prstGeom prst="roundRect">
            <a:avLst>
              <a:gd name="adj" fmla="val 4518"/>
            </a:avLst>
          </a:prstGeom>
          <a:solidFill>
            <a:schemeClr val="tx2">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600" b="1"/>
          </a:p>
        </xdr:txBody>
      </xdr:sp>
      <xdr:sp macro="" textlink="">
        <xdr:nvSpPr>
          <xdr:cNvPr id="24" name="TextBox 23">
            <a:extLst>
              <a:ext uri="{FF2B5EF4-FFF2-40B4-BE49-F238E27FC236}">
                <a16:creationId xmlns:a16="http://schemas.microsoft.com/office/drawing/2014/main" id="{BBFAB787-4633-482B-BEF5-16A18821CEA0}"/>
              </a:ext>
            </a:extLst>
          </xdr:cNvPr>
          <xdr:cNvSpPr txBox="1"/>
        </xdr:nvSpPr>
        <xdr:spPr>
          <a:xfrm>
            <a:off x="10362467" y="1187693"/>
            <a:ext cx="1153258" cy="293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tx1">
                    <a:lumMod val="75000"/>
                    <a:lumOff val="25000"/>
                  </a:schemeClr>
                </a:solidFill>
              </a:rPr>
              <a:t>Total Profit</a:t>
            </a:r>
          </a:p>
        </xdr:txBody>
      </xdr:sp>
      <xdr:sp macro="" textlink="Pivot_tables!B9">
        <xdr:nvSpPr>
          <xdr:cNvPr id="27" name="TextBox 26">
            <a:extLst>
              <a:ext uri="{FF2B5EF4-FFF2-40B4-BE49-F238E27FC236}">
                <a16:creationId xmlns:a16="http://schemas.microsoft.com/office/drawing/2014/main" id="{352033A7-DF19-499E-950C-5D199D78F8D5}"/>
              </a:ext>
            </a:extLst>
          </xdr:cNvPr>
          <xdr:cNvSpPr txBox="1"/>
        </xdr:nvSpPr>
        <xdr:spPr>
          <a:xfrm>
            <a:off x="10255089" y="1511543"/>
            <a:ext cx="1167912" cy="234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2A515ECA-5EB3-4556-8A6C-D548CFCFA254}" type="TxLink">
              <a:rPr lang="en-US" sz="3200" b="1" i="0" u="none" strike="noStrike">
                <a:solidFill>
                  <a:srgbClr val="000000"/>
                </a:solidFill>
                <a:latin typeface="Calibri"/>
                <a:ea typeface="+mn-ea"/>
                <a:cs typeface="Calibri"/>
              </a:rPr>
              <a:pPr marL="0" indent="0"/>
              <a:t> 298 121 </a:t>
            </a:fld>
            <a:endParaRPr lang="en-US" sz="3200" b="1" i="0" u="none" strike="noStrike">
              <a:solidFill>
                <a:srgbClr val="000000"/>
              </a:solidFill>
              <a:latin typeface="Calibri"/>
              <a:ea typeface="+mn-ea"/>
              <a:cs typeface="Calibri"/>
            </a:endParaRPr>
          </a:p>
        </xdr:txBody>
      </xdr:sp>
      <xdr:pic>
        <xdr:nvPicPr>
          <xdr:cNvPr id="30" name="Picture 29">
            <a:extLst>
              <a:ext uri="{FF2B5EF4-FFF2-40B4-BE49-F238E27FC236}">
                <a16:creationId xmlns:a16="http://schemas.microsoft.com/office/drawing/2014/main" id="{27FDC75A-7606-6953-1F5C-C790AF18FB1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686925" y="1205706"/>
            <a:ext cx="391857" cy="390392"/>
          </a:xfrm>
          <a:prstGeom prst="rect">
            <a:avLst/>
          </a:prstGeom>
        </xdr:spPr>
      </xdr:pic>
    </xdr:grpSp>
    <xdr:clientData/>
  </xdr:twoCellAnchor>
  <xdr:twoCellAnchor>
    <xdr:from>
      <xdr:col>8</xdr:col>
      <xdr:colOff>28575</xdr:colOff>
      <xdr:row>5</xdr:row>
      <xdr:rowOff>126831</xdr:rowOff>
    </xdr:from>
    <xdr:to>
      <xdr:col>13</xdr:col>
      <xdr:colOff>307882</xdr:colOff>
      <xdr:row>10</xdr:row>
      <xdr:rowOff>152400</xdr:rowOff>
    </xdr:to>
    <xdr:sp macro="" textlink="">
      <xdr:nvSpPr>
        <xdr:cNvPr id="8" name="Rectangle: Rounded Corners 7">
          <a:extLst>
            <a:ext uri="{FF2B5EF4-FFF2-40B4-BE49-F238E27FC236}">
              <a16:creationId xmlns:a16="http://schemas.microsoft.com/office/drawing/2014/main" id="{BCAC84F8-2736-4E32-B8EF-445B498064C8}"/>
            </a:ext>
          </a:extLst>
        </xdr:cNvPr>
        <xdr:cNvSpPr/>
      </xdr:nvSpPr>
      <xdr:spPr>
        <a:xfrm>
          <a:off x="4905375" y="1079331"/>
          <a:ext cx="3327307" cy="978069"/>
        </a:xfrm>
        <a:prstGeom prst="roundRect">
          <a:avLst>
            <a:gd name="adj" fmla="val 4518"/>
          </a:avLst>
        </a:prstGeom>
        <a:solidFill>
          <a:schemeClr val="tx2">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600" b="1"/>
        </a:p>
      </xdr:txBody>
    </xdr:sp>
    <xdr:clientData/>
  </xdr:twoCellAnchor>
  <xdr:twoCellAnchor>
    <xdr:from>
      <xdr:col>9</xdr:col>
      <xdr:colOff>553116</xdr:colOff>
      <xdr:row>5</xdr:row>
      <xdr:rowOff>181927</xdr:rowOff>
    </xdr:from>
    <xdr:to>
      <xdr:col>13</xdr:col>
      <xdr:colOff>94144</xdr:colOff>
      <xdr:row>7</xdr:row>
      <xdr:rowOff>188281</xdr:rowOff>
    </xdr:to>
    <xdr:sp macro="" textlink="">
      <xdr:nvSpPr>
        <xdr:cNvPr id="23" name="TextBox 22">
          <a:extLst>
            <a:ext uri="{FF2B5EF4-FFF2-40B4-BE49-F238E27FC236}">
              <a16:creationId xmlns:a16="http://schemas.microsoft.com/office/drawing/2014/main" id="{84E176B0-2DEF-7775-FF2B-3F7924C4AF46}"/>
            </a:ext>
          </a:extLst>
        </xdr:cNvPr>
        <xdr:cNvSpPr txBox="1"/>
      </xdr:nvSpPr>
      <xdr:spPr>
        <a:xfrm>
          <a:off x="6039516" y="1134427"/>
          <a:ext cx="1979428" cy="3873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tx1">
                  <a:lumMod val="75000"/>
                  <a:lumOff val="25000"/>
                </a:schemeClr>
              </a:solidFill>
            </a:rPr>
            <a:t>Total Sales</a:t>
          </a:r>
        </a:p>
      </xdr:txBody>
    </xdr:sp>
    <xdr:clientData/>
  </xdr:twoCellAnchor>
  <xdr:twoCellAnchor>
    <xdr:from>
      <xdr:col>9</xdr:col>
      <xdr:colOff>70686</xdr:colOff>
      <xdr:row>8</xdr:row>
      <xdr:rowOff>75254</xdr:rowOff>
    </xdr:from>
    <xdr:to>
      <xdr:col>13</xdr:col>
      <xdr:colOff>196478</xdr:colOff>
      <xdr:row>10</xdr:row>
      <xdr:rowOff>4137</xdr:rowOff>
    </xdr:to>
    <xdr:sp macro="" textlink="Pivot_tables!A9">
      <xdr:nvSpPr>
        <xdr:cNvPr id="26" name="TextBox 25">
          <a:extLst>
            <a:ext uri="{FF2B5EF4-FFF2-40B4-BE49-F238E27FC236}">
              <a16:creationId xmlns:a16="http://schemas.microsoft.com/office/drawing/2014/main" id="{F0666CF5-0AD4-DF7E-F62B-F8907447E018}"/>
            </a:ext>
          </a:extLst>
        </xdr:cNvPr>
        <xdr:cNvSpPr txBox="1"/>
      </xdr:nvSpPr>
      <xdr:spPr>
        <a:xfrm>
          <a:off x="5557086" y="1599254"/>
          <a:ext cx="2564192" cy="3098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D6AED8CA-782D-4638-B2AB-D506F88D4B1A}" type="TxLink">
            <a:rPr lang="en-US" sz="3200" b="1" i="0" u="none" strike="noStrike">
              <a:solidFill>
                <a:srgbClr val="000000"/>
              </a:solidFill>
              <a:latin typeface="Calibri"/>
              <a:ea typeface="+mn-ea"/>
              <a:cs typeface="Calibri"/>
            </a:rPr>
            <a:pPr marL="0" indent="0"/>
            <a:t> 1 405 407 </a:t>
          </a:fld>
          <a:endParaRPr lang="en-US" sz="3200" b="1" i="0" u="none" strike="noStrike">
            <a:solidFill>
              <a:srgbClr val="000000"/>
            </a:solidFill>
            <a:latin typeface="Calibri"/>
            <a:ea typeface="+mn-ea"/>
            <a:cs typeface="Calibri"/>
          </a:endParaRPr>
        </a:p>
      </xdr:txBody>
    </xdr:sp>
    <xdr:clientData/>
  </xdr:twoCellAnchor>
  <xdr:twoCellAnchor>
    <xdr:from>
      <xdr:col>8</xdr:col>
      <xdr:colOff>128901</xdr:colOff>
      <xdr:row>5</xdr:row>
      <xdr:rowOff>123825</xdr:rowOff>
    </xdr:from>
    <xdr:to>
      <xdr:col>9</xdr:col>
      <xdr:colOff>436160</xdr:colOff>
      <xdr:row>8</xdr:row>
      <xdr:rowOff>157727</xdr:rowOff>
    </xdr:to>
    <xdr:pic>
      <xdr:nvPicPr>
        <xdr:cNvPr id="32" name="Picture 31">
          <a:extLst>
            <a:ext uri="{FF2B5EF4-FFF2-40B4-BE49-F238E27FC236}">
              <a16:creationId xmlns:a16="http://schemas.microsoft.com/office/drawing/2014/main" id="{3C52D124-5547-AC07-A620-FC1E514F70C1}"/>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flipH="1">
          <a:off x="5005701" y="1076325"/>
          <a:ext cx="916859" cy="605402"/>
        </a:xfrm>
        <a:prstGeom prst="rect">
          <a:avLst/>
        </a:prstGeom>
      </xdr:spPr>
    </xdr:pic>
    <xdr:clientData/>
  </xdr:twoCellAnchor>
  <xdr:twoCellAnchor>
    <xdr:from>
      <xdr:col>4</xdr:col>
      <xdr:colOff>371476</xdr:colOff>
      <xdr:row>11</xdr:row>
      <xdr:rowOff>183905</xdr:rowOff>
    </xdr:from>
    <xdr:to>
      <xdr:col>15</xdr:col>
      <xdr:colOff>305534</xdr:colOff>
      <xdr:row>25</xdr:row>
      <xdr:rowOff>133350</xdr:rowOff>
    </xdr:to>
    <xdr:graphicFrame macro="">
      <xdr:nvGraphicFramePr>
        <xdr:cNvPr id="35" name="Chart 34">
          <a:extLst>
            <a:ext uri="{FF2B5EF4-FFF2-40B4-BE49-F238E27FC236}">
              <a16:creationId xmlns:a16="http://schemas.microsoft.com/office/drawing/2014/main" id="{31C0E62D-1F77-46F1-9110-46D9D0A80F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494179</xdr:colOff>
      <xdr:row>11</xdr:row>
      <xdr:rowOff>63060</xdr:rowOff>
    </xdr:from>
    <xdr:to>
      <xdr:col>13</xdr:col>
      <xdr:colOff>348030</xdr:colOff>
      <xdr:row>12</xdr:row>
      <xdr:rowOff>83411</xdr:rowOff>
    </xdr:to>
    <xdr:sp macro="" textlink="">
      <xdr:nvSpPr>
        <xdr:cNvPr id="37" name="TextBox 36">
          <a:extLst>
            <a:ext uri="{FF2B5EF4-FFF2-40B4-BE49-F238E27FC236}">
              <a16:creationId xmlns:a16="http://schemas.microsoft.com/office/drawing/2014/main" id="{B8D97400-B61C-E9AE-3D17-78AF5F03B0FE}"/>
            </a:ext>
          </a:extLst>
        </xdr:cNvPr>
        <xdr:cNvSpPr txBox="1"/>
      </xdr:nvSpPr>
      <xdr:spPr>
        <a:xfrm>
          <a:off x="4761379" y="2158560"/>
          <a:ext cx="3511451" cy="2108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800" b="1">
              <a:solidFill>
                <a:schemeClr val="tx1">
                  <a:lumMod val="75000"/>
                  <a:lumOff val="25000"/>
                </a:schemeClr>
              </a:solidFill>
              <a:latin typeface="+mn-lt"/>
              <a:ea typeface="+mn-ea"/>
              <a:cs typeface="+mn-cs"/>
            </a:rPr>
            <a:t>Monthly</a:t>
          </a:r>
          <a:r>
            <a:rPr lang="en-US" sz="2000" b="1">
              <a:solidFill>
                <a:schemeClr val="tx1">
                  <a:lumMod val="75000"/>
                  <a:lumOff val="25000"/>
                </a:schemeClr>
              </a:solidFill>
              <a:latin typeface="+mn-lt"/>
              <a:ea typeface="+mn-ea"/>
              <a:cs typeface="+mn-cs"/>
            </a:rPr>
            <a:t> Sales By Region</a:t>
          </a:r>
        </a:p>
      </xdr:txBody>
    </xdr:sp>
    <xdr:clientData/>
  </xdr:twoCellAnchor>
  <xdr:twoCellAnchor>
    <xdr:from>
      <xdr:col>16</xdr:col>
      <xdr:colOff>28575</xdr:colOff>
      <xdr:row>10</xdr:row>
      <xdr:rowOff>148003</xdr:rowOff>
    </xdr:from>
    <xdr:to>
      <xdr:col>25</xdr:col>
      <xdr:colOff>131886</xdr:colOff>
      <xdr:row>25</xdr:row>
      <xdr:rowOff>85725</xdr:rowOff>
    </xdr:to>
    <xdr:graphicFrame macro="">
      <xdr:nvGraphicFramePr>
        <xdr:cNvPr id="38" name="Chart 37">
          <a:extLst>
            <a:ext uri="{FF2B5EF4-FFF2-40B4-BE49-F238E27FC236}">
              <a16:creationId xmlns:a16="http://schemas.microsoft.com/office/drawing/2014/main" id="{73D207F2-1AB8-4E25-8527-DEB8372EF6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425921</xdr:colOff>
      <xdr:row>11</xdr:row>
      <xdr:rowOff>34486</xdr:rowOff>
    </xdr:from>
    <xdr:to>
      <xdr:col>24</xdr:col>
      <xdr:colOff>222007</xdr:colOff>
      <xdr:row>12</xdr:row>
      <xdr:rowOff>51042</xdr:rowOff>
    </xdr:to>
    <xdr:sp macro="" textlink="">
      <xdr:nvSpPr>
        <xdr:cNvPr id="39" name="TextBox 38">
          <a:extLst>
            <a:ext uri="{FF2B5EF4-FFF2-40B4-BE49-F238E27FC236}">
              <a16:creationId xmlns:a16="http://schemas.microsoft.com/office/drawing/2014/main" id="{92F51ED1-94FA-4A8F-96D0-33FCC551E071}"/>
            </a:ext>
          </a:extLst>
        </xdr:cNvPr>
        <xdr:cNvSpPr txBox="1"/>
      </xdr:nvSpPr>
      <xdr:spPr>
        <a:xfrm>
          <a:off x="11398721" y="2129986"/>
          <a:ext cx="3453686" cy="207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2000" b="1">
              <a:solidFill>
                <a:schemeClr val="tx1">
                  <a:lumMod val="75000"/>
                  <a:lumOff val="25000"/>
                </a:schemeClr>
              </a:solidFill>
              <a:latin typeface="+mn-lt"/>
              <a:ea typeface="+mn-ea"/>
              <a:cs typeface="+mn-cs"/>
            </a:rPr>
            <a:t>Top 10 Sold Products</a:t>
          </a:r>
          <a:endParaRPr lang="en-US" sz="2400" b="1">
            <a:solidFill>
              <a:schemeClr val="tx1">
                <a:lumMod val="75000"/>
                <a:lumOff val="25000"/>
              </a:schemeClr>
            </a:solidFill>
            <a:latin typeface="+mn-lt"/>
            <a:ea typeface="+mn-ea"/>
            <a:cs typeface="+mn-cs"/>
          </a:endParaRPr>
        </a:p>
      </xdr:txBody>
    </xdr:sp>
    <xdr:clientData/>
  </xdr:twoCellAnchor>
  <xdr:twoCellAnchor>
    <xdr:from>
      <xdr:col>25</xdr:col>
      <xdr:colOff>133349</xdr:colOff>
      <xdr:row>5</xdr:row>
      <xdr:rowOff>143709</xdr:rowOff>
    </xdr:from>
    <xdr:to>
      <xdr:col>28</xdr:col>
      <xdr:colOff>238124</xdr:colOff>
      <xdr:row>25</xdr:row>
      <xdr:rowOff>57150</xdr:rowOff>
    </xdr:to>
    <xdr:grpSp>
      <xdr:nvGrpSpPr>
        <xdr:cNvPr id="121" name="Group 120">
          <a:extLst>
            <a:ext uri="{FF2B5EF4-FFF2-40B4-BE49-F238E27FC236}">
              <a16:creationId xmlns:a16="http://schemas.microsoft.com/office/drawing/2014/main" id="{B4C68D3B-1FAC-CD1D-B718-C99F9CFA0A7F}"/>
            </a:ext>
          </a:extLst>
        </xdr:cNvPr>
        <xdr:cNvGrpSpPr/>
      </xdr:nvGrpSpPr>
      <xdr:grpSpPr>
        <a:xfrm>
          <a:off x="15373349" y="1096209"/>
          <a:ext cx="1933575" cy="3723441"/>
          <a:chOff x="8945971" y="1153359"/>
          <a:chExt cx="1497439" cy="2905757"/>
        </a:xfrm>
      </xdr:grpSpPr>
      <xdr:sp macro="" textlink="">
        <xdr:nvSpPr>
          <xdr:cNvPr id="12" name="Rectangle: Rounded Corners 11">
            <a:extLst>
              <a:ext uri="{FF2B5EF4-FFF2-40B4-BE49-F238E27FC236}">
                <a16:creationId xmlns:a16="http://schemas.microsoft.com/office/drawing/2014/main" id="{A7841FA9-06C0-4226-9DAA-92B7A6EE5AA3}"/>
              </a:ext>
            </a:extLst>
          </xdr:cNvPr>
          <xdr:cNvSpPr/>
        </xdr:nvSpPr>
        <xdr:spPr>
          <a:xfrm>
            <a:off x="8945971" y="1153359"/>
            <a:ext cx="1380393" cy="2905757"/>
          </a:xfrm>
          <a:prstGeom prst="roundRect">
            <a:avLst>
              <a:gd name="adj" fmla="val 4518"/>
            </a:avLst>
          </a:prstGeom>
          <a:solidFill>
            <a:schemeClr val="tx2">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600" b="1">
              <a:solidFill>
                <a:schemeClr val="lt1"/>
              </a:solidFill>
              <a:latin typeface="+mn-lt"/>
              <a:ea typeface="+mn-ea"/>
              <a:cs typeface="+mn-cs"/>
            </a:endParaRPr>
          </a:p>
        </xdr:txBody>
      </xdr:sp>
      <xdr:sp macro="" textlink="">
        <xdr:nvSpPr>
          <xdr:cNvPr id="40" name="TextBox 39">
            <a:extLst>
              <a:ext uri="{FF2B5EF4-FFF2-40B4-BE49-F238E27FC236}">
                <a16:creationId xmlns:a16="http://schemas.microsoft.com/office/drawing/2014/main" id="{5D9460D7-19C5-484F-BE19-FEDCDB24B09B}"/>
              </a:ext>
            </a:extLst>
          </xdr:cNvPr>
          <xdr:cNvSpPr txBox="1"/>
        </xdr:nvSpPr>
        <xdr:spPr>
          <a:xfrm>
            <a:off x="8962501" y="1223597"/>
            <a:ext cx="1480909" cy="3107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800" b="1">
                <a:solidFill>
                  <a:schemeClr val="tx1">
                    <a:lumMod val="75000"/>
                    <a:lumOff val="25000"/>
                  </a:schemeClr>
                </a:solidFill>
                <a:latin typeface="+mn-lt"/>
                <a:ea typeface="+mn-ea"/>
                <a:cs typeface="+mn-cs"/>
              </a:rPr>
              <a:t>Top 5 Customers</a:t>
            </a:r>
          </a:p>
        </xdr:txBody>
      </xdr:sp>
      <xdr:sp macro="" textlink="">
        <xdr:nvSpPr>
          <xdr:cNvPr id="42" name="Flowchart: Connector 41">
            <a:extLst>
              <a:ext uri="{FF2B5EF4-FFF2-40B4-BE49-F238E27FC236}">
                <a16:creationId xmlns:a16="http://schemas.microsoft.com/office/drawing/2014/main" id="{9F488D64-F6FE-7E0F-3AE6-201DC75115D9}"/>
              </a:ext>
            </a:extLst>
          </xdr:cNvPr>
          <xdr:cNvSpPr/>
        </xdr:nvSpPr>
        <xdr:spPr>
          <a:xfrm>
            <a:off x="9015779" y="1567961"/>
            <a:ext cx="458666" cy="457200"/>
          </a:xfrm>
          <a:prstGeom prst="flowChartConnector">
            <a:avLst/>
          </a:prstGeom>
          <a:solidFill>
            <a:srgbClr val="758D67"/>
          </a:solidFill>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2400" b="1">
                <a:ln>
                  <a:solidFill>
                    <a:srgbClr val="FFFF00"/>
                  </a:solidFill>
                </a:ln>
                <a:solidFill>
                  <a:srgbClr val="FFFF00"/>
                </a:solidFill>
              </a:rPr>
              <a:t>1</a:t>
            </a:r>
          </a:p>
        </xdr:txBody>
      </xdr:sp>
      <xdr:sp macro="" textlink="">
        <xdr:nvSpPr>
          <xdr:cNvPr id="43" name="Flowchart: Connector 42">
            <a:extLst>
              <a:ext uri="{FF2B5EF4-FFF2-40B4-BE49-F238E27FC236}">
                <a16:creationId xmlns:a16="http://schemas.microsoft.com/office/drawing/2014/main" id="{B5B82D25-A67F-4A5D-8BDC-D89AB4992E47}"/>
              </a:ext>
            </a:extLst>
          </xdr:cNvPr>
          <xdr:cNvSpPr/>
        </xdr:nvSpPr>
        <xdr:spPr>
          <a:xfrm>
            <a:off x="9015779" y="2063261"/>
            <a:ext cx="458666" cy="457200"/>
          </a:xfrm>
          <a:prstGeom prst="flowChartConnector">
            <a:avLst/>
          </a:prstGeom>
          <a:solidFill>
            <a:srgbClr val="758D67"/>
          </a:solidFill>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400" b="1" i="0" u="none" strike="noStrike" kern="0" cap="none" spc="0" normalizeH="0" baseline="0" noProof="0">
                <a:ln>
                  <a:solidFill>
                    <a:srgbClr val="FFFF00"/>
                  </a:solidFill>
                </a:ln>
                <a:solidFill>
                  <a:srgbClr val="FFFF00"/>
                </a:solidFill>
                <a:effectLst/>
                <a:uLnTx/>
                <a:uFillTx/>
                <a:latin typeface="+mn-lt"/>
                <a:ea typeface="+mn-ea"/>
                <a:cs typeface="+mn-cs"/>
              </a:rPr>
              <a:t>2</a:t>
            </a:r>
          </a:p>
          <a:p>
            <a:pPr algn="l"/>
            <a:endParaRPr lang="en-US" sz="1600" b="1"/>
          </a:p>
        </xdr:txBody>
      </xdr:sp>
      <xdr:sp macro="" textlink="">
        <xdr:nvSpPr>
          <xdr:cNvPr id="44" name="Flowchart: Connector 43">
            <a:extLst>
              <a:ext uri="{FF2B5EF4-FFF2-40B4-BE49-F238E27FC236}">
                <a16:creationId xmlns:a16="http://schemas.microsoft.com/office/drawing/2014/main" id="{D7CD56F2-4A97-4DB8-B876-686C319D483F}"/>
              </a:ext>
            </a:extLst>
          </xdr:cNvPr>
          <xdr:cNvSpPr/>
        </xdr:nvSpPr>
        <xdr:spPr>
          <a:xfrm>
            <a:off x="9015779" y="2558561"/>
            <a:ext cx="458666" cy="457200"/>
          </a:xfrm>
          <a:prstGeom prst="flowChartConnector">
            <a:avLst/>
          </a:prstGeom>
          <a:solidFill>
            <a:srgbClr val="758D67"/>
          </a:solidFill>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400" b="1" i="0" u="none" strike="noStrike" kern="0" cap="none" spc="0" normalizeH="0" baseline="0" noProof="0">
                <a:ln>
                  <a:solidFill>
                    <a:srgbClr val="FFFF00"/>
                  </a:solidFill>
                </a:ln>
                <a:solidFill>
                  <a:srgbClr val="FFFF00"/>
                </a:solidFill>
                <a:effectLst/>
                <a:uLnTx/>
                <a:uFillTx/>
                <a:latin typeface="+mn-lt"/>
                <a:ea typeface="+mn-ea"/>
                <a:cs typeface="+mn-cs"/>
              </a:rPr>
              <a:t>3</a:t>
            </a:r>
          </a:p>
        </xdr:txBody>
      </xdr:sp>
      <xdr:sp macro="" textlink="">
        <xdr:nvSpPr>
          <xdr:cNvPr id="45" name="Flowchart: Connector 44">
            <a:extLst>
              <a:ext uri="{FF2B5EF4-FFF2-40B4-BE49-F238E27FC236}">
                <a16:creationId xmlns:a16="http://schemas.microsoft.com/office/drawing/2014/main" id="{D51D7A53-07CD-44AB-B119-9F7C587D0737}"/>
              </a:ext>
            </a:extLst>
          </xdr:cNvPr>
          <xdr:cNvSpPr/>
        </xdr:nvSpPr>
        <xdr:spPr>
          <a:xfrm>
            <a:off x="9015779" y="3053861"/>
            <a:ext cx="458666" cy="457200"/>
          </a:xfrm>
          <a:prstGeom prst="flowChartConnector">
            <a:avLst/>
          </a:prstGeom>
          <a:solidFill>
            <a:srgbClr val="758D67"/>
          </a:solidFill>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400" b="1" i="0" u="none" strike="noStrike" kern="0" cap="none" spc="0" normalizeH="0" baseline="0" noProof="0">
                <a:ln>
                  <a:solidFill>
                    <a:srgbClr val="FFFF00"/>
                  </a:solidFill>
                </a:ln>
                <a:solidFill>
                  <a:srgbClr val="FFFF00"/>
                </a:solidFill>
                <a:effectLst/>
                <a:uLnTx/>
                <a:uFillTx/>
                <a:latin typeface="+mn-lt"/>
                <a:ea typeface="+mn-ea"/>
                <a:cs typeface="+mn-cs"/>
              </a:rPr>
              <a:t>4</a:t>
            </a:r>
          </a:p>
        </xdr:txBody>
      </xdr:sp>
      <xdr:sp macro="" textlink="">
        <xdr:nvSpPr>
          <xdr:cNvPr id="46" name="Flowchart: Connector 45">
            <a:extLst>
              <a:ext uri="{FF2B5EF4-FFF2-40B4-BE49-F238E27FC236}">
                <a16:creationId xmlns:a16="http://schemas.microsoft.com/office/drawing/2014/main" id="{3D71C8E6-6A4C-42F2-B0F3-3238747D2AE9}"/>
              </a:ext>
            </a:extLst>
          </xdr:cNvPr>
          <xdr:cNvSpPr/>
        </xdr:nvSpPr>
        <xdr:spPr>
          <a:xfrm>
            <a:off x="9015779" y="3549162"/>
            <a:ext cx="458666" cy="457200"/>
          </a:xfrm>
          <a:prstGeom prst="flowChartConnector">
            <a:avLst/>
          </a:prstGeom>
          <a:solidFill>
            <a:srgbClr val="758D67"/>
          </a:solidFill>
        </xdr:spPr>
        <xdr:style>
          <a:lnRef idx="0">
            <a:schemeClr val="accent6"/>
          </a:lnRef>
          <a:fillRef idx="3">
            <a:schemeClr val="accent6"/>
          </a:fillRef>
          <a:effectRef idx="3">
            <a:schemeClr val="accent6"/>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400" b="1" i="0" u="none" strike="noStrike" kern="0" cap="none" spc="0" normalizeH="0" baseline="0" noProof="0">
                <a:ln>
                  <a:solidFill>
                    <a:srgbClr val="FFFF00"/>
                  </a:solidFill>
                </a:ln>
                <a:solidFill>
                  <a:srgbClr val="FFFF00"/>
                </a:solidFill>
                <a:effectLst/>
                <a:uLnTx/>
                <a:uFillTx/>
                <a:latin typeface="+mn-lt"/>
                <a:ea typeface="+mn-ea"/>
                <a:cs typeface="+mn-cs"/>
              </a:rPr>
              <a:t>5</a:t>
            </a:r>
          </a:p>
        </xdr:txBody>
      </xdr:sp>
      <xdr:sp macro="" textlink="Pivot_tables!J11">
        <xdr:nvSpPr>
          <xdr:cNvPr id="50" name="TextBox 49">
            <a:extLst>
              <a:ext uri="{FF2B5EF4-FFF2-40B4-BE49-F238E27FC236}">
                <a16:creationId xmlns:a16="http://schemas.microsoft.com/office/drawing/2014/main" id="{78B04A04-F2DB-E8E2-39DF-6721695CB338}"/>
              </a:ext>
            </a:extLst>
          </xdr:cNvPr>
          <xdr:cNvSpPr txBox="1"/>
        </xdr:nvSpPr>
        <xdr:spPr>
          <a:xfrm>
            <a:off x="9496225" y="1538654"/>
            <a:ext cx="756138" cy="293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8E8DD0F-68DD-4629-8B0F-502B6B620A4B}" type="TxLink">
              <a:rPr lang="en-US" sz="1600" b="1" i="0" u="none" strike="noStrike">
                <a:solidFill>
                  <a:srgbClr val="758D67"/>
                </a:solidFill>
                <a:latin typeface="Calibri"/>
                <a:cs typeface="Calibri"/>
              </a:rPr>
              <a:pPr/>
              <a:t>StarMall</a:t>
            </a:fld>
            <a:endParaRPr lang="en-US" sz="1600" b="1">
              <a:solidFill>
                <a:srgbClr val="758D67"/>
              </a:solidFill>
            </a:endParaRPr>
          </a:p>
        </xdr:txBody>
      </xdr:sp>
      <xdr:sp macro="" textlink="Pivot_tables!K11">
        <xdr:nvSpPr>
          <xdr:cNvPr id="51" name="TextBox 50">
            <a:extLst>
              <a:ext uri="{FF2B5EF4-FFF2-40B4-BE49-F238E27FC236}">
                <a16:creationId xmlns:a16="http://schemas.microsoft.com/office/drawing/2014/main" id="{CAFD6912-2ECC-02CC-EA68-1B91C0DE5363}"/>
              </a:ext>
            </a:extLst>
          </xdr:cNvPr>
          <xdr:cNvSpPr txBox="1"/>
        </xdr:nvSpPr>
        <xdr:spPr>
          <a:xfrm>
            <a:off x="9474244" y="1699847"/>
            <a:ext cx="770792" cy="2051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5D2482-519B-4537-B8F7-76FA33BAF77C}" type="TxLink">
              <a:rPr lang="en-US" sz="1800" b="1" i="0" u="none" strike="noStrike">
                <a:solidFill>
                  <a:sysClr val="windowText" lastClr="000000"/>
                </a:solidFill>
                <a:latin typeface="Calibri"/>
                <a:cs typeface="Calibri"/>
              </a:rPr>
              <a:pPr/>
              <a:t> 328 292 </a:t>
            </a:fld>
            <a:endParaRPr lang="en-US" sz="1800" b="1">
              <a:solidFill>
                <a:sysClr val="windowText" lastClr="000000"/>
              </a:solidFill>
            </a:endParaRPr>
          </a:p>
        </xdr:txBody>
      </xdr:sp>
      <xdr:sp macro="" textlink="Pivot_tables!J12">
        <xdr:nvSpPr>
          <xdr:cNvPr id="52" name="TextBox 51">
            <a:extLst>
              <a:ext uri="{FF2B5EF4-FFF2-40B4-BE49-F238E27FC236}">
                <a16:creationId xmlns:a16="http://schemas.microsoft.com/office/drawing/2014/main" id="{8FDA9707-33E1-43A2-BF28-EAE4D5E34AC0}"/>
              </a:ext>
            </a:extLst>
          </xdr:cNvPr>
          <xdr:cNvSpPr txBox="1"/>
        </xdr:nvSpPr>
        <xdr:spPr>
          <a:xfrm>
            <a:off x="9496225" y="2076552"/>
            <a:ext cx="756138" cy="293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6AEE800D-3C6D-43F5-8351-D01BF2673648}" type="TxLink">
              <a:rPr lang="en-US" sz="1400" b="1" i="0" u="none" strike="noStrike">
                <a:solidFill>
                  <a:srgbClr val="758D67"/>
                </a:solidFill>
                <a:latin typeface="Calibri"/>
                <a:ea typeface="+mn-ea"/>
                <a:cs typeface="Calibri"/>
              </a:rPr>
              <a:pPr marL="0" indent="0"/>
              <a:t>Shopper's Hub</a:t>
            </a:fld>
            <a:endParaRPr lang="en-US" sz="1400" b="1" i="0" u="none" strike="noStrike">
              <a:solidFill>
                <a:srgbClr val="758D67"/>
              </a:solidFill>
              <a:latin typeface="Calibri"/>
              <a:ea typeface="+mn-ea"/>
              <a:cs typeface="Calibri"/>
            </a:endParaRPr>
          </a:p>
        </xdr:txBody>
      </xdr:sp>
      <xdr:sp macro="" textlink="Pivot_tables!K12">
        <xdr:nvSpPr>
          <xdr:cNvPr id="53" name="TextBox 52">
            <a:extLst>
              <a:ext uri="{FF2B5EF4-FFF2-40B4-BE49-F238E27FC236}">
                <a16:creationId xmlns:a16="http://schemas.microsoft.com/office/drawing/2014/main" id="{D6EF1A77-CE35-4829-8B79-F89994819106}"/>
              </a:ext>
            </a:extLst>
          </xdr:cNvPr>
          <xdr:cNvSpPr txBox="1"/>
        </xdr:nvSpPr>
        <xdr:spPr>
          <a:xfrm>
            <a:off x="9496225" y="2237745"/>
            <a:ext cx="770792" cy="2051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6D37DBEE-82A6-4FB0-8285-B714ED7D4CCA}" type="TxLink">
              <a:rPr lang="en-US" sz="1800" b="1" i="0" u="none" strike="noStrike">
                <a:solidFill>
                  <a:sysClr val="windowText" lastClr="000000"/>
                </a:solidFill>
                <a:latin typeface="Calibri"/>
                <a:ea typeface="+mn-ea"/>
                <a:cs typeface="Calibri"/>
              </a:rPr>
              <a:pPr marL="0" indent="0"/>
              <a:t> 292 293 </a:t>
            </a:fld>
            <a:endParaRPr lang="en-US" sz="1800" b="1" i="0" u="none" strike="noStrike">
              <a:solidFill>
                <a:sysClr val="windowText" lastClr="000000"/>
              </a:solidFill>
              <a:latin typeface="Calibri"/>
              <a:ea typeface="+mn-ea"/>
              <a:cs typeface="Calibri"/>
            </a:endParaRPr>
          </a:p>
        </xdr:txBody>
      </xdr:sp>
      <xdr:sp macro="" textlink="Pivot_tables!J13">
        <xdr:nvSpPr>
          <xdr:cNvPr id="54" name="TextBox 53">
            <a:extLst>
              <a:ext uri="{FF2B5EF4-FFF2-40B4-BE49-F238E27FC236}">
                <a16:creationId xmlns:a16="http://schemas.microsoft.com/office/drawing/2014/main" id="{0BF01534-EFDF-4C88-9EF9-2CF01979D10E}"/>
              </a:ext>
            </a:extLst>
          </xdr:cNvPr>
          <xdr:cNvSpPr txBox="1"/>
        </xdr:nvSpPr>
        <xdr:spPr>
          <a:xfrm>
            <a:off x="9496225" y="2544010"/>
            <a:ext cx="756138" cy="293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E4883E7-5A5B-46B1-9D9A-F9360A2650CF}" type="TxLink">
              <a:rPr lang="en-US" sz="1600" b="1" i="0" u="none" strike="noStrike">
                <a:solidFill>
                  <a:srgbClr val="758D67"/>
                </a:solidFill>
                <a:latin typeface="Calibri"/>
                <a:ea typeface="+mn-ea"/>
                <a:cs typeface="Calibri"/>
              </a:rPr>
              <a:pPr marL="0" indent="0"/>
              <a:t>AliTech</a:t>
            </a:fld>
            <a:endParaRPr lang="en-US" sz="1600" b="1" i="0" u="none" strike="noStrike">
              <a:solidFill>
                <a:srgbClr val="758D67"/>
              </a:solidFill>
              <a:latin typeface="Calibri"/>
              <a:ea typeface="+mn-ea"/>
              <a:cs typeface="Calibri"/>
            </a:endParaRPr>
          </a:p>
        </xdr:txBody>
      </xdr:sp>
      <xdr:sp macro="" textlink="Pivot_tables!K13">
        <xdr:nvSpPr>
          <xdr:cNvPr id="55" name="TextBox 54">
            <a:extLst>
              <a:ext uri="{FF2B5EF4-FFF2-40B4-BE49-F238E27FC236}">
                <a16:creationId xmlns:a16="http://schemas.microsoft.com/office/drawing/2014/main" id="{DD2F5589-E8A8-4008-83B1-C267EBE3FD7E}"/>
              </a:ext>
            </a:extLst>
          </xdr:cNvPr>
          <xdr:cNvSpPr txBox="1"/>
        </xdr:nvSpPr>
        <xdr:spPr>
          <a:xfrm>
            <a:off x="9466917" y="2727184"/>
            <a:ext cx="770792" cy="2051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C78B5B41-FBD3-44DE-A988-435E032CC83F}" type="TxLink">
              <a:rPr lang="en-US" sz="1800" b="1" i="0" u="none" strike="noStrike">
                <a:solidFill>
                  <a:sysClr val="windowText" lastClr="000000"/>
                </a:solidFill>
                <a:latin typeface="Calibri"/>
                <a:ea typeface="+mn-ea"/>
                <a:cs typeface="Calibri"/>
              </a:rPr>
              <a:pPr marL="0" indent="0"/>
              <a:t> 269 315 </a:t>
            </a:fld>
            <a:endParaRPr lang="en-US" sz="1800" b="1" i="0" u="none" strike="noStrike">
              <a:solidFill>
                <a:sysClr val="windowText" lastClr="000000"/>
              </a:solidFill>
              <a:latin typeface="Calibri"/>
              <a:ea typeface="+mn-ea"/>
              <a:cs typeface="Calibri"/>
            </a:endParaRPr>
          </a:p>
        </xdr:txBody>
      </xdr:sp>
      <xdr:sp macro="" textlink="Pivot_tables!J14">
        <xdr:nvSpPr>
          <xdr:cNvPr id="56" name="TextBox 55">
            <a:extLst>
              <a:ext uri="{FF2B5EF4-FFF2-40B4-BE49-F238E27FC236}">
                <a16:creationId xmlns:a16="http://schemas.microsoft.com/office/drawing/2014/main" id="{667454FC-E696-4A02-A9F7-79493E668E18}"/>
              </a:ext>
            </a:extLst>
          </xdr:cNvPr>
          <xdr:cNvSpPr txBox="1"/>
        </xdr:nvSpPr>
        <xdr:spPr>
          <a:xfrm>
            <a:off x="9496225" y="3062755"/>
            <a:ext cx="756138" cy="293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1B4ABE36-62D7-4570-AACE-9DAE3BC80348}" type="TxLink">
              <a:rPr lang="en-US" sz="1600" b="1" i="0" u="none" strike="noStrike">
                <a:solidFill>
                  <a:srgbClr val="758D67"/>
                </a:solidFill>
                <a:latin typeface="Calibri"/>
                <a:ea typeface="+mn-ea"/>
                <a:cs typeface="Calibri"/>
              </a:rPr>
              <a:pPr marL="0" indent="0"/>
              <a:t>TechMart</a:t>
            </a:fld>
            <a:endParaRPr lang="en-US" sz="1600" b="1" i="0" u="none" strike="noStrike">
              <a:solidFill>
                <a:srgbClr val="758D67"/>
              </a:solidFill>
              <a:latin typeface="Calibri"/>
              <a:ea typeface="+mn-ea"/>
              <a:cs typeface="Calibri"/>
            </a:endParaRPr>
          </a:p>
        </xdr:txBody>
      </xdr:sp>
      <xdr:sp macro="" textlink="Pivot_tables!K14">
        <xdr:nvSpPr>
          <xdr:cNvPr id="57" name="TextBox 56">
            <a:extLst>
              <a:ext uri="{FF2B5EF4-FFF2-40B4-BE49-F238E27FC236}">
                <a16:creationId xmlns:a16="http://schemas.microsoft.com/office/drawing/2014/main" id="{213CBA75-22E1-4B87-90DE-5D9DE8DDF31A}"/>
              </a:ext>
            </a:extLst>
          </xdr:cNvPr>
          <xdr:cNvSpPr txBox="1"/>
        </xdr:nvSpPr>
        <xdr:spPr>
          <a:xfrm>
            <a:off x="9474244" y="3223948"/>
            <a:ext cx="770792" cy="2051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0428B42E-398E-4908-BB13-9F5DD190589A}" type="TxLink">
              <a:rPr lang="en-US" sz="1800" b="1" i="0" u="none" strike="noStrike">
                <a:solidFill>
                  <a:sysClr val="windowText" lastClr="000000"/>
                </a:solidFill>
                <a:latin typeface="Calibri"/>
                <a:ea typeface="+mn-ea"/>
                <a:cs typeface="Calibri"/>
              </a:rPr>
              <a:pPr marL="0" indent="0"/>
              <a:t> 196 106 </a:t>
            </a:fld>
            <a:endParaRPr lang="en-US" sz="1800" b="1" i="0" u="none" strike="noStrike">
              <a:solidFill>
                <a:sysClr val="windowText" lastClr="000000"/>
              </a:solidFill>
              <a:latin typeface="Calibri"/>
              <a:ea typeface="+mn-ea"/>
              <a:cs typeface="Calibri"/>
            </a:endParaRPr>
          </a:p>
        </xdr:txBody>
      </xdr:sp>
      <xdr:sp macro="" textlink="Pivot_tables!J15">
        <xdr:nvSpPr>
          <xdr:cNvPr id="58" name="TextBox 57">
            <a:extLst>
              <a:ext uri="{FF2B5EF4-FFF2-40B4-BE49-F238E27FC236}">
                <a16:creationId xmlns:a16="http://schemas.microsoft.com/office/drawing/2014/main" id="{CE7451D1-1E1A-4A88-9B25-027FF9104305}"/>
              </a:ext>
            </a:extLst>
          </xdr:cNvPr>
          <xdr:cNvSpPr txBox="1"/>
        </xdr:nvSpPr>
        <xdr:spPr>
          <a:xfrm>
            <a:off x="9496225" y="3559521"/>
            <a:ext cx="756138" cy="293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9DD0D139-DB5B-4BF2-94A4-8F0F01C08808}" type="TxLink">
              <a:rPr lang="en-US" sz="1600" b="1" i="0" u="none" strike="noStrike">
                <a:solidFill>
                  <a:srgbClr val="758D67"/>
                </a:solidFill>
                <a:latin typeface="Calibri"/>
                <a:ea typeface="+mn-ea"/>
                <a:cs typeface="Calibri"/>
              </a:rPr>
              <a:pPr marL="0" indent="0"/>
              <a:t>CityEssentials</a:t>
            </a:fld>
            <a:endParaRPr lang="en-US" sz="1600" b="1" i="0" u="none" strike="noStrike">
              <a:solidFill>
                <a:srgbClr val="758D67"/>
              </a:solidFill>
              <a:latin typeface="Calibri"/>
              <a:ea typeface="+mn-ea"/>
              <a:cs typeface="Calibri"/>
            </a:endParaRPr>
          </a:p>
        </xdr:txBody>
      </xdr:sp>
      <xdr:sp macro="" textlink="Pivot_tables!K15">
        <xdr:nvSpPr>
          <xdr:cNvPr id="59" name="TextBox 58">
            <a:extLst>
              <a:ext uri="{FF2B5EF4-FFF2-40B4-BE49-F238E27FC236}">
                <a16:creationId xmlns:a16="http://schemas.microsoft.com/office/drawing/2014/main" id="{43883D85-BA54-49B1-9618-4B26B80363F2}"/>
              </a:ext>
            </a:extLst>
          </xdr:cNvPr>
          <xdr:cNvSpPr txBox="1"/>
        </xdr:nvSpPr>
        <xdr:spPr>
          <a:xfrm>
            <a:off x="9503552" y="3728042"/>
            <a:ext cx="770792" cy="2051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C9D471B9-17F8-45EF-BD61-9AB34B435D86}" type="TxLink">
              <a:rPr lang="en-US" sz="1800" b="1" i="0" u="none" strike="noStrike">
                <a:solidFill>
                  <a:sysClr val="windowText" lastClr="000000"/>
                </a:solidFill>
                <a:latin typeface="Calibri"/>
                <a:ea typeface="+mn-ea"/>
                <a:cs typeface="Calibri"/>
              </a:rPr>
              <a:pPr marL="0" indent="0"/>
              <a:t> 92 096 </a:t>
            </a:fld>
            <a:endParaRPr lang="en-US" sz="1800" b="1" i="0" u="none" strike="noStrike">
              <a:solidFill>
                <a:sysClr val="windowText" lastClr="000000"/>
              </a:solidFill>
              <a:latin typeface="Calibri"/>
              <a:ea typeface="+mn-ea"/>
              <a:cs typeface="Calibri"/>
            </a:endParaRPr>
          </a:p>
        </xdr:txBody>
      </xdr:sp>
    </xdr:grpSp>
    <xdr:clientData/>
  </xdr:twoCellAnchor>
  <xdr:twoCellAnchor>
    <xdr:from>
      <xdr:col>4</xdr:col>
      <xdr:colOff>219075</xdr:colOff>
      <xdr:row>25</xdr:row>
      <xdr:rowOff>122607</xdr:rowOff>
    </xdr:from>
    <xdr:to>
      <xdr:col>10</xdr:col>
      <xdr:colOff>152401</xdr:colOff>
      <xdr:row>37</xdr:row>
      <xdr:rowOff>142875</xdr:rowOff>
    </xdr:to>
    <xdr:graphicFrame macro="">
      <xdr:nvGraphicFramePr>
        <xdr:cNvPr id="3" name="Chart 2">
          <a:extLst>
            <a:ext uri="{FF2B5EF4-FFF2-40B4-BE49-F238E27FC236}">
              <a16:creationId xmlns:a16="http://schemas.microsoft.com/office/drawing/2014/main" id="{C7ECB76E-6535-4D57-B0D5-2DDD44FF3E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188388</xdr:colOff>
      <xdr:row>25</xdr:row>
      <xdr:rowOff>162485</xdr:rowOff>
    </xdr:from>
    <xdr:to>
      <xdr:col>10</xdr:col>
      <xdr:colOff>414617</xdr:colOff>
      <xdr:row>27</xdr:row>
      <xdr:rowOff>112059</xdr:rowOff>
    </xdr:to>
    <xdr:sp macro="" textlink="">
      <xdr:nvSpPr>
        <xdr:cNvPr id="10" name="TextBox 9">
          <a:extLst>
            <a:ext uri="{FF2B5EF4-FFF2-40B4-BE49-F238E27FC236}">
              <a16:creationId xmlns:a16="http://schemas.microsoft.com/office/drawing/2014/main" id="{8B732C14-31BF-4938-B422-F5EC6EB8EA3A}"/>
            </a:ext>
          </a:extLst>
        </xdr:cNvPr>
        <xdr:cNvSpPr txBox="1"/>
      </xdr:nvSpPr>
      <xdr:spPr>
        <a:xfrm>
          <a:off x="4424212" y="4924985"/>
          <a:ext cx="2041581" cy="3305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2000" b="1">
              <a:solidFill>
                <a:schemeClr val="tx1">
                  <a:lumMod val="75000"/>
                  <a:lumOff val="25000"/>
                </a:schemeClr>
              </a:solidFill>
              <a:latin typeface="+mn-lt"/>
              <a:ea typeface="+mn-ea"/>
              <a:cs typeface="+mn-cs"/>
            </a:rPr>
            <a:t>Sales By Region</a:t>
          </a:r>
          <a:endParaRPr lang="en-US" sz="2400" b="1">
            <a:solidFill>
              <a:schemeClr val="tx1">
                <a:lumMod val="75000"/>
                <a:lumOff val="25000"/>
              </a:schemeClr>
            </a:solidFill>
            <a:latin typeface="+mn-lt"/>
            <a:ea typeface="+mn-ea"/>
            <a:cs typeface="+mn-cs"/>
          </a:endParaRPr>
        </a:p>
      </xdr:txBody>
    </xdr:sp>
    <xdr:clientData/>
  </xdr:twoCellAnchor>
  <xdr:twoCellAnchor>
    <xdr:from>
      <xdr:col>10</xdr:col>
      <xdr:colOff>337858</xdr:colOff>
      <xdr:row>25</xdr:row>
      <xdr:rowOff>166536</xdr:rowOff>
    </xdr:from>
    <xdr:to>
      <xdr:col>19</xdr:col>
      <xdr:colOff>356908</xdr:colOff>
      <xdr:row>37</xdr:row>
      <xdr:rowOff>68356</xdr:rowOff>
    </xdr:to>
    <xdr:graphicFrame macro="">
      <xdr:nvGraphicFramePr>
        <xdr:cNvPr id="11" name="Chart 10">
          <a:extLst>
            <a:ext uri="{FF2B5EF4-FFF2-40B4-BE49-F238E27FC236}">
              <a16:creationId xmlns:a16="http://schemas.microsoft.com/office/drawing/2014/main" id="{620F0D1F-4AE9-4F9B-8A58-8F7D880A22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19</xdr:col>
      <xdr:colOff>257175</xdr:colOff>
      <xdr:row>5</xdr:row>
      <xdr:rowOff>123825</xdr:rowOff>
    </xdr:from>
    <xdr:to>
      <xdr:col>25</xdr:col>
      <xdr:colOff>123825</xdr:colOff>
      <xdr:row>10</xdr:row>
      <xdr:rowOff>148080</xdr:rowOff>
    </xdr:to>
    <xdr:grpSp>
      <xdr:nvGrpSpPr>
        <xdr:cNvPr id="123" name="Group 122">
          <a:extLst>
            <a:ext uri="{FF2B5EF4-FFF2-40B4-BE49-F238E27FC236}">
              <a16:creationId xmlns:a16="http://schemas.microsoft.com/office/drawing/2014/main" id="{0541ABDA-499D-59F2-0C89-E4F00078542C}"/>
            </a:ext>
          </a:extLst>
        </xdr:cNvPr>
        <xdr:cNvGrpSpPr/>
      </xdr:nvGrpSpPr>
      <xdr:grpSpPr>
        <a:xfrm>
          <a:off x="11839575" y="1076325"/>
          <a:ext cx="3524250" cy="976755"/>
          <a:chOff x="6757393" y="1134284"/>
          <a:chExt cx="2172662" cy="747346"/>
        </a:xfrm>
      </xdr:grpSpPr>
      <xdr:sp macro="" textlink="">
        <xdr:nvSpPr>
          <xdr:cNvPr id="9" name="Rectangle: Rounded Corners 8">
            <a:extLst>
              <a:ext uri="{FF2B5EF4-FFF2-40B4-BE49-F238E27FC236}">
                <a16:creationId xmlns:a16="http://schemas.microsoft.com/office/drawing/2014/main" id="{CDE5F92F-5153-4D79-8225-FDBB49994F05}"/>
              </a:ext>
            </a:extLst>
          </xdr:cNvPr>
          <xdr:cNvSpPr/>
        </xdr:nvSpPr>
        <xdr:spPr>
          <a:xfrm>
            <a:off x="6757393" y="1134284"/>
            <a:ext cx="2088022" cy="747346"/>
          </a:xfrm>
          <a:prstGeom prst="roundRect">
            <a:avLst>
              <a:gd name="adj" fmla="val 4518"/>
            </a:avLst>
          </a:prstGeom>
          <a:solidFill>
            <a:schemeClr val="tx2">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600" b="1">
              <a:solidFill>
                <a:schemeClr val="lt1"/>
              </a:solidFill>
              <a:latin typeface="+mn-lt"/>
              <a:ea typeface="+mn-ea"/>
              <a:cs typeface="+mn-cs"/>
            </a:endParaRPr>
          </a:p>
        </xdr:txBody>
      </xdr:sp>
      <xdr:sp macro="" textlink="">
        <xdr:nvSpPr>
          <xdr:cNvPr id="25" name="TextBox 24">
            <a:extLst>
              <a:ext uri="{FF2B5EF4-FFF2-40B4-BE49-F238E27FC236}">
                <a16:creationId xmlns:a16="http://schemas.microsoft.com/office/drawing/2014/main" id="{8A96C08C-C8AB-4F19-B1C4-73D1BCA315F8}"/>
              </a:ext>
            </a:extLst>
          </xdr:cNvPr>
          <xdr:cNvSpPr txBox="1"/>
        </xdr:nvSpPr>
        <xdr:spPr>
          <a:xfrm>
            <a:off x="7913079" y="1191357"/>
            <a:ext cx="921726" cy="293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tx1">
                    <a:lumMod val="75000"/>
                    <a:lumOff val="25000"/>
                  </a:schemeClr>
                </a:solidFill>
              </a:rPr>
              <a:t>Profit</a:t>
            </a:r>
            <a:r>
              <a:rPr lang="en-US" sz="2000" b="1">
                <a:solidFill>
                  <a:schemeClr val="tx1">
                    <a:lumMod val="65000"/>
                    <a:lumOff val="35000"/>
                  </a:schemeClr>
                </a:solidFill>
              </a:rPr>
              <a:t> %</a:t>
            </a:r>
          </a:p>
        </xdr:txBody>
      </xdr:sp>
      <xdr:sp macro="" textlink="Pivot_tables!B10">
        <xdr:nvSpPr>
          <xdr:cNvPr id="28" name="TextBox 27">
            <a:extLst>
              <a:ext uri="{FF2B5EF4-FFF2-40B4-BE49-F238E27FC236}">
                <a16:creationId xmlns:a16="http://schemas.microsoft.com/office/drawing/2014/main" id="{63556E37-540C-49B8-817D-043B1FA7CEF2}"/>
              </a:ext>
            </a:extLst>
          </xdr:cNvPr>
          <xdr:cNvSpPr txBox="1"/>
        </xdr:nvSpPr>
        <xdr:spPr>
          <a:xfrm>
            <a:off x="7939960" y="1518949"/>
            <a:ext cx="990095" cy="234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CDBE3168-FEF9-46FC-9C23-261088918B3E}" type="TxLink">
              <a:rPr lang="en-US" sz="3200" b="1" i="0" u="none" strike="noStrike">
                <a:solidFill>
                  <a:srgbClr val="000000"/>
                </a:solidFill>
                <a:latin typeface="Calibri"/>
                <a:ea typeface="+mn-ea"/>
                <a:cs typeface="Calibri"/>
              </a:rPr>
              <a:pPr marL="0" indent="0"/>
              <a:t>21%</a:t>
            </a:fld>
            <a:endParaRPr lang="en-US" sz="3200" b="1" i="0" u="none" strike="noStrike">
              <a:solidFill>
                <a:srgbClr val="000000"/>
              </a:solidFill>
              <a:latin typeface="Calibri"/>
              <a:ea typeface="+mn-ea"/>
              <a:cs typeface="Calibri"/>
            </a:endParaRPr>
          </a:p>
        </xdr:txBody>
      </xdr:sp>
      <xdr:pic>
        <xdr:nvPicPr>
          <xdr:cNvPr id="31" name="Picture 30">
            <a:extLst>
              <a:ext uri="{FF2B5EF4-FFF2-40B4-BE49-F238E27FC236}">
                <a16:creationId xmlns:a16="http://schemas.microsoft.com/office/drawing/2014/main" id="{317F17CF-644B-AB29-DE18-38EA9EC6E1B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7013330" y="1179634"/>
            <a:ext cx="397120" cy="395654"/>
          </a:xfrm>
          <a:prstGeom prst="rect">
            <a:avLst/>
          </a:prstGeom>
        </xdr:spPr>
      </xdr:pic>
    </xdr:grpSp>
    <xdr:clientData/>
  </xdr:twoCellAnchor>
  <xdr:twoCellAnchor>
    <xdr:from>
      <xdr:col>19</xdr:col>
      <xdr:colOff>514351</xdr:colOff>
      <xdr:row>25</xdr:row>
      <xdr:rowOff>116243</xdr:rowOff>
    </xdr:from>
    <xdr:to>
      <xdr:col>28</xdr:col>
      <xdr:colOff>129363</xdr:colOff>
      <xdr:row>37</xdr:row>
      <xdr:rowOff>28575</xdr:rowOff>
    </xdr:to>
    <xdr:sp macro="" textlink="">
      <xdr:nvSpPr>
        <xdr:cNvPr id="17" name="Rectangle: Rounded Corners 16">
          <a:extLst>
            <a:ext uri="{FF2B5EF4-FFF2-40B4-BE49-F238E27FC236}">
              <a16:creationId xmlns:a16="http://schemas.microsoft.com/office/drawing/2014/main" id="{F069D781-0ED2-4E7B-B8AE-2CC5FF4B1553}"/>
            </a:ext>
          </a:extLst>
        </xdr:cNvPr>
        <xdr:cNvSpPr/>
      </xdr:nvSpPr>
      <xdr:spPr>
        <a:xfrm>
          <a:off x="12096751" y="4878743"/>
          <a:ext cx="5101412" cy="2198332"/>
        </a:xfrm>
        <a:prstGeom prst="roundRect">
          <a:avLst>
            <a:gd name="adj" fmla="val 4518"/>
          </a:avLst>
        </a:prstGeom>
        <a:solidFill>
          <a:schemeClr val="tx2">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600" b="1">
            <a:solidFill>
              <a:schemeClr val="lt1"/>
            </a:solidFill>
            <a:latin typeface="+mn-lt"/>
            <a:ea typeface="+mn-ea"/>
            <a:cs typeface="+mn-cs"/>
          </a:endParaRPr>
        </a:p>
      </xdr:txBody>
    </xdr:sp>
    <xdr:clientData/>
  </xdr:twoCellAnchor>
  <xdr:twoCellAnchor>
    <xdr:from>
      <xdr:col>19</xdr:col>
      <xdr:colOff>581025</xdr:colOff>
      <xdr:row>25</xdr:row>
      <xdr:rowOff>53963</xdr:rowOff>
    </xdr:from>
    <xdr:to>
      <xdr:col>28</xdr:col>
      <xdr:colOff>116060</xdr:colOff>
      <xdr:row>37</xdr:row>
      <xdr:rowOff>28575</xdr:rowOff>
    </xdr:to>
    <mc:AlternateContent xmlns:mc="http://schemas.openxmlformats.org/markup-compatibility/2006">
      <mc:Choice xmlns:cx4="http://schemas.microsoft.com/office/drawing/2016/5/10/chartex" Requires="cx4">
        <xdr:graphicFrame macro="">
          <xdr:nvGraphicFramePr>
            <xdr:cNvPr id="33" name="Chart 32">
              <a:extLst>
                <a:ext uri="{FF2B5EF4-FFF2-40B4-BE49-F238E27FC236}">
                  <a16:creationId xmlns:a16="http://schemas.microsoft.com/office/drawing/2014/main" id="{0B5AAE76-4CCD-435B-9BB3-5162845D204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9"/>
            </a:graphicData>
          </a:graphic>
        </xdr:graphicFrame>
      </mc:Choice>
      <mc:Fallback>
        <xdr:sp macro="" textlink="">
          <xdr:nvSpPr>
            <xdr:cNvPr id="0" name=""/>
            <xdr:cNvSpPr>
              <a:spLocks noTextEdit="1"/>
            </xdr:cNvSpPr>
          </xdr:nvSpPr>
          <xdr:spPr>
            <a:xfrm>
              <a:off x="12163425" y="4816463"/>
              <a:ext cx="5021435" cy="2260612"/>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23</xdr:col>
      <xdr:colOff>183848</xdr:colOff>
      <xdr:row>25</xdr:row>
      <xdr:rowOff>123568</xdr:rowOff>
    </xdr:from>
    <xdr:to>
      <xdr:col>26</xdr:col>
      <xdr:colOff>537775</xdr:colOff>
      <xdr:row>27</xdr:row>
      <xdr:rowOff>46853</xdr:rowOff>
    </xdr:to>
    <xdr:sp macro="" textlink="">
      <xdr:nvSpPr>
        <xdr:cNvPr id="41" name="TextBox 9">
          <a:extLst>
            <a:ext uri="{FF2B5EF4-FFF2-40B4-BE49-F238E27FC236}">
              <a16:creationId xmlns:a16="http://schemas.microsoft.com/office/drawing/2014/main" id="{5991C75E-0788-AF44-6F43-220BEEF5B1D5}"/>
            </a:ext>
          </a:extLst>
        </xdr:cNvPr>
        <xdr:cNvSpPr txBox="1"/>
      </xdr:nvSpPr>
      <xdr:spPr>
        <a:xfrm>
          <a:off x="14204648" y="4886068"/>
          <a:ext cx="2182727" cy="3042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ctr"/>
          <a:r>
            <a:rPr lang="en-US" sz="2000" b="1">
              <a:solidFill>
                <a:schemeClr val="tx1">
                  <a:lumMod val="75000"/>
                  <a:lumOff val="25000"/>
                </a:schemeClr>
              </a:solidFill>
              <a:latin typeface="+mn-lt"/>
              <a:ea typeface="+mn-ea"/>
              <a:cs typeface="+mn-cs"/>
            </a:rPr>
            <a:t>Sales By Country</a:t>
          </a:r>
          <a:endParaRPr lang="en-US" sz="2400" b="1">
            <a:solidFill>
              <a:schemeClr val="tx1">
                <a:lumMod val="75000"/>
                <a:lumOff val="25000"/>
              </a:schemeClr>
            </a:solidFill>
            <a:latin typeface="+mn-lt"/>
            <a:ea typeface="+mn-ea"/>
            <a:cs typeface="+mn-cs"/>
          </a:endParaRPr>
        </a:p>
      </xdr:txBody>
    </xdr:sp>
    <xdr:clientData/>
  </xdr:twoCellAnchor>
  <xdr:twoCellAnchor>
    <xdr:from>
      <xdr:col>0</xdr:col>
      <xdr:colOff>342900</xdr:colOff>
      <xdr:row>5</xdr:row>
      <xdr:rowOff>118295</xdr:rowOff>
    </xdr:from>
    <xdr:to>
      <xdr:col>4</xdr:col>
      <xdr:colOff>276225</xdr:colOff>
      <xdr:row>17</xdr:row>
      <xdr:rowOff>66675</xdr:rowOff>
    </xdr:to>
    <xdr:sp macro="" textlink="">
      <xdr:nvSpPr>
        <xdr:cNvPr id="4" name="Rectangle: Rounded Corners 3">
          <a:extLst>
            <a:ext uri="{FF2B5EF4-FFF2-40B4-BE49-F238E27FC236}">
              <a16:creationId xmlns:a16="http://schemas.microsoft.com/office/drawing/2014/main" id="{6A02DB4E-79C0-4FBF-86F3-B5AFB07A0C84}"/>
            </a:ext>
          </a:extLst>
        </xdr:cNvPr>
        <xdr:cNvSpPr/>
      </xdr:nvSpPr>
      <xdr:spPr>
        <a:xfrm>
          <a:off x="342900" y="1070795"/>
          <a:ext cx="2371725" cy="2234380"/>
        </a:xfrm>
        <a:prstGeom prst="roundRect">
          <a:avLst>
            <a:gd name="adj" fmla="val 4518"/>
          </a:avLst>
        </a:prstGeom>
        <a:solidFill>
          <a:schemeClr val="tx2">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600" b="1">
            <a:solidFill>
              <a:schemeClr val="lt1"/>
            </a:solidFill>
            <a:latin typeface="+mn-lt"/>
            <a:ea typeface="+mn-ea"/>
            <a:cs typeface="+mn-cs"/>
          </a:endParaRPr>
        </a:p>
      </xdr:txBody>
    </xdr:sp>
    <xdr:clientData/>
  </xdr:twoCellAnchor>
  <xdr:twoCellAnchor>
    <xdr:from>
      <xdr:col>0</xdr:col>
      <xdr:colOff>436486</xdr:colOff>
      <xdr:row>6</xdr:row>
      <xdr:rowOff>66675</xdr:rowOff>
    </xdr:from>
    <xdr:to>
      <xdr:col>4</xdr:col>
      <xdr:colOff>142528</xdr:colOff>
      <xdr:row>17</xdr:row>
      <xdr:rowOff>40660</xdr:rowOff>
    </xdr:to>
    <mc:AlternateContent xmlns:mc="http://schemas.openxmlformats.org/markup-compatibility/2006" xmlns:a14="http://schemas.microsoft.com/office/drawing/2010/main">
      <mc:Choice Requires="a14">
        <xdr:graphicFrame macro="">
          <xdr:nvGraphicFramePr>
            <xdr:cNvPr id="47" name="Region">
              <a:extLst>
                <a:ext uri="{FF2B5EF4-FFF2-40B4-BE49-F238E27FC236}">
                  <a16:creationId xmlns:a16="http://schemas.microsoft.com/office/drawing/2014/main" id="{4E69AEC3-5699-4F9F-89C4-3DDDDEF1A4F7}"/>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436486" y="1209675"/>
              <a:ext cx="2144442" cy="206948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428625</xdr:colOff>
      <xdr:row>18</xdr:row>
      <xdr:rowOff>123825</xdr:rowOff>
    </xdr:from>
    <xdr:to>
      <xdr:col>4</xdr:col>
      <xdr:colOff>127620</xdr:colOff>
      <xdr:row>36</xdr:row>
      <xdr:rowOff>62608</xdr:rowOff>
    </xdr:to>
    <mc:AlternateContent xmlns:mc="http://schemas.openxmlformats.org/markup-compatibility/2006" xmlns:a14="http://schemas.microsoft.com/office/drawing/2010/main">
      <mc:Choice Requires="a14">
        <xdr:graphicFrame macro="">
          <xdr:nvGraphicFramePr>
            <xdr:cNvPr id="48" name="Month">
              <a:extLst>
                <a:ext uri="{FF2B5EF4-FFF2-40B4-BE49-F238E27FC236}">
                  <a16:creationId xmlns:a16="http://schemas.microsoft.com/office/drawing/2014/main" id="{6ADBF78C-AE1C-43DF-B74A-15FF82669206}"/>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428625" y="3552825"/>
              <a:ext cx="2137395" cy="336778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350452</xdr:colOff>
      <xdr:row>0</xdr:row>
      <xdr:rowOff>124811</xdr:rowOff>
    </xdr:from>
    <xdr:to>
      <xdr:col>28</xdr:col>
      <xdr:colOff>76200</xdr:colOff>
      <xdr:row>5</xdr:row>
      <xdr:rowOff>59121</xdr:rowOff>
    </xdr:to>
    <xdr:sp macro="" textlink="">
      <xdr:nvSpPr>
        <xdr:cNvPr id="5" name="Rectangle: Rounded Corners 4">
          <a:extLst>
            <a:ext uri="{FF2B5EF4-FFF2-40B4-BE49-F238E27FC236}">
              <a16:creationId xmlns:a16="http://schemas.microsoft.com/office/drawing/2014/main" id="{219ED6D9-81E3-676C-B91A-8E83344D8EDF}"/>
            </a:ext>
          </a:extLst>
        </xdr:cNvPr>
        <xdr:cNvSpPr/>
      </xdr:nvSpPr>
      <xdr:spPr>
        <a:xfrm>
          <a:off x="350452" y="124811"/>
          <a:ext cx="16794548" cy="886810"/>
        </a:xfrm>
        <a:prstGeom prst="roundRect">
          <a:avLst>
            <a:gd name="adj" fmla="val 4518"/>
          </a:avLst>
        </a:prstGeom>
        <a:solidFill>
          <a:schemeClr val="tx2">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800" b="1">
              <a:ln>
                <a:solidFill>
                  <a:schemeClr val="accent6">
                    <a:lumMod val="40000"/>
                    <a:lumOff val="60000"/>
                  </a:schemeClr>
                </a:solidFill>
              </a:ln>
              <a:solidFill>
                <a:schemeClr val="tx1">
                  <a:lumMod val="85000"/>
                  <a:lumOff val="15000"/>
                </a:schemeClr>
              </a:solidFill>
            </a:rPr>
            <a:t>Sales</a:t>
          </a:r>
          <a:r>
            <a:rPr lang="en-US" sz="4800" b="1" baseline="0">
              <a:ln>
                <a:solidFill>
                  <a:schemeClr val="accent6">
                    <a:lumMod val="40000"/>
                    <a:lumOff val="60000"/>
                  </a:schemeClr>
                </a:solidFill>
              </a:ln>
              <a:solidFill>
                <a:schemeClr val="tx1">
                  <a:lumMod val="85000"/>
                  <a:lumOff val="15000"/>
                </a:schemeClr>
              </a:solidFill>
            </a:rPr>
            <a:t> Dashboard</a:t>
          </a:r>
          <a:endParaRPr lang="en-US" sz="4800" b="1">
            <a:ln>
              <a:solidFill>
                <a:schemeClr val="accent6">
                  <a:lumMod val="40000"/>
                  <a:lumOff val="60000"/>
                </a:schemeClr>
              </a:solidFill>
            </a:ln>
            <a:solidFill>
              <a:schemeClr val="tx1">
                <a:lumMod val="85000"/>
                <a:lumOff val="15000"/>
              </a:schemeClr>
            </a:solidFill>
          </a:endParaRPr>
        </a:p>
      </xdr:txBody>
    </xdr:sp>
    <xdr:clientData/>
  </xdr:twoCellAnchor>
  <xdr:twoCellAnchor editAs="oneCell">
    <xdr:from>
      <xdr:col>8</xdr:col>
      <xdr:colOff>48358</xdr:colOff>
      <xdr:row>1</xdr:row>
      <xdr:rowOff>18317</xdr:rowOff>
    </xdr:from>
    <xdr:to>
      <xdr:col>10</xdr:col>
      <xdr:colOff>481199</xdr:colOff>
      <xdr:row>4</xdr:row>
      <xdr:rowOff>122865</xdr:rowOff>
    </xdr:to>
    <xdr:pic>
      <xdr:nvPicPr>
        <xdr:cNvPr id="66" name="Picture 65">
          <a:extLst>
            <a:ext uri="{FF2B5EF4-FFF2-40B4-BE49-F238E27FC236}">
              <a16:creationId xmlns:a16="http://schemas.microsoft.com/office/drawing/2014/main" id="{71ACCADF-931E-2C1D-8773-4ACAE92A5209}"/>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925158" y="208817"/>
          <a:ext cx="1652041" cy="676048"/>
        </a:xfrm>
        <a:prstGeom prst="rect">
          <a:avLst/>
        </a:prstGeom>
      </xdr:spPr>
    </xdr:pic>
    <xdr:clientData/>
  </xdr:twoCellAnchor>
  <xdr:twoCellAnchor>
    <xdr:from>
      <xdr:col>4</xdr:col>
      <xdr:colOff>390525</xdr:colOff>
      <xdr:row>11</xdr:row>
      <xdr:rowOff>64277</xdr:rowOff>
    </xdr:from>
    <xdr:to>
      <xdr:col>15</xdr:col>
      <xdr:colOff>485775</xdr:colOff>
      <xdr:row>26</xdr:row>
      <xdr:rowOff>57150</xdr:rowOff>
    </xdr:to>
    <xdr:graphicFrame macro="">
      <xdr:nvGraphicFramePr>
        <xdr:cNvPr id="2" name="Chart 1">
          <a:extLst>
            <a:ext uri="{FF2B5EF4-FFF2-40B4-BE49-F238E27FC236}">
              <a16:creationId xmlns:a16="http://schemas.microsoft.com/office/drawing/2014/main" id="{E4243BEC-3BA9-4180-84A0-C13A9B4E23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0.27775</cdr:x>
      <cdr:y>0.00476</cdr:y>
    </cdr:from>
    <cdr:to>
      <cdr:x>0.72209</cdr:x>
      <cdr:y>0.14762</cdr:y>
    </cdr:to>
    <cdr:sp macro="" textlink="">
      <cdr:nvSpPr>
        <cdr:cNvPr id="2" name="TextBox 9">
          <a:extLst xmlns:a="http://schemas.openxmlformats.org/drawingml/2006/main">
            <a:ext uri="{FF2B5EF4-FFF2-40B4-BE49-F238E27FC236}">
              <a16:creationId xmlns:a16="http://schemas.microsoft.com/office/drawing/2014/main" id="{8B732C14-31BF-4938-B422-F5EC6EB8EA3A}"/>
            </a:ext>
          </a:extLst>
        </cdr:cNvPr>
        <cdr:cNvSpPr txBox="1"/>
      </cdr:nvSpPr>
      <cdr:spPr>
        <a:xfrm xmlns:a="http://schemas.openxmlformats.org/drawingml/2006/main">
          <a:off x="856761" y="7327"/>
          <a:ext cx="1370624" cy="219808"/>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marL="0" indent="0" algn="ctr"/>
          <a:r>
            <a:rPr lang="en-US" sz="2000" b="1">
              <a:solidFill>
                <a:schemeClr val="tx1">
                  <a:lumMod val="75000"/>
                  <a:lumOff val="25000"/>
                </a:schemeClr>
              </a:solidFill>
              <a:latin typeface="+mn-lt"/>
              <a:ea typeface="+mn-ea"/>
              <a:cs typeface="+mn-cs"/>
            </a:rPr>
            <a:t>Sales By Week</a:t>
          </a: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eleem" refreshedDate="45791.784664236111" createdVersion="8" refreshedVersion="8" minRefreshableVersion="3" recordCount="100" xr:uid="{A537FFED-39D9-4ACE-849C-8AD7D7C5B131}">
  <cacheSource type="worksheet">
    <worksheetSource ref="A1:L101" sheet="Database"/>
  </cacheSource>
  <cacheFields count="12">
    <cacheField name="N°" numFmtId="0">
      <sharedItems containsSemiMixedTypes="0" containsString="0" containsNumber="1" containsInteger="1" minValue="1" maxValue="100"/>
    </cacheField>
    <cacheField name="Date" numFmtId="14">
      <sharedItems containsSemiMixedTypes="0" containsNonDate="0" containsDate="1" containsString="0" minDate="2026-01-01T00:00:00" maxDate="2026-12-17T00:00:00"/>
    </cacheField>
    <cacheField name="Customer" numFmtId="0">
      <sharedItems count="18">
        <s v="AliTech"/>
        <s v="StarMall"/>
        <s v="Shopper's Hub"/>
        <s v="TechMart"/>
        <s v="FreshStart"/>
        <s v="CityEssentials"/>
        <s v="LifeGoods"/>
        <s v="RapidDeals"/>
        <s v="SuperShop"/>
        <s v="EasyMart"/>
        <s v="ValueShop"/>
        <s v="TechDeals"/>
        <s v="ShopperPlus"/>
        <s v="DailyEssentials"/>
        <s v="BrightDeals"/>
        <s v="MegaGadgets"/>
        <s v="ValueMart"/>
        <s v="EcoShop"/>
      </sharedItems>
    </cacheField>
    <cacheField name="Product" numFmtId="0">
      <sharedItems count="20">
        <s v="Keyboard"/>
        <s v="Desk Lamp"/>
        <s v="Smartphone"/>
        <s v="Mouse"/>
        <s v="Printer"/>
        <s v="Portable SSD"/>
        <s v="USB Flash Drive"/>
        <s v="Laptop"/>
        <s v="External Hard Drive"/>
        <s v="Projector"/>
        <s v="Bluetooth Speaker"/>
        <s v="Tablet"/>
        <s v="Headphones"/>
        <s v="Smartwatch"/>
        <s v="Fitness Tracker"/>
        <s v="Router"/>
        <s v="Monitor"/>
        <s v="Wireless Charger"/>
        <s v="Power Bank"/>
        <s v="Camera"/>
      </sharedItems>
    </cacheField>
    <cacheField name="Unit Price" numFmtId="164">
      <sharedItems containsSemiMixedTypes="0" containsString="0" containsNumber="1" minValue="7.33" maxValue="497"/>
    </cacheField>
    <cacheField name="Quantity" numFmtId="0">
      <sharedItems containsSemiMixedTypes="0" containsString="0" containsNumber="1" containsInteger="1" minValue="2" maxValue="100"/>
    </cacheField>
    <cacheField name="Sales" numFmtId="164">
      <sharedItems containsSemiMixedTypes="0" containsString="0" containsNumber="1" minValue="143.69999999999999" maxValue="46550"/>
    </cacheField>
    <cacheField name="Total Profit" numFmtId="164">
      <sharedItems containsSemiMixedTypes="0" containsString="0" containsNumber="1" minValue="35.200000000000003" maxValue="11476.85"/>
    </cacheField>
    <cacheField name="Country" numFmtId="0">
      <sharedItems count="19">
        <s v="Saudi Arabia"/>
        <s v="UAE"/>
        <s v="Egypt"/>
        <s v="Algeria"/>
        <s v="Lebanon"/>
        <s v="Libya"/>
        <s v="Qatar"/>
        <s v="Jordan"/>
        <s v="Yemen"/>
        <s v="Oman"/>
        <s v="Western Sahara"/>
        <s v="Palestine"/>
        <s v="Sudan"/>
        <s v="South Sudan"/>
        <s v="Iraq"/>
        <s v="Kuwait"/>
        <s v="Tunisia"/>
        <s v="Bahrain"/>
        <s v="Syria"/>
      </sharedItems>
    </cacheField>
    <cacheField name="Region" numFmtId="0">
      <sharedItems count="4">
        <s v="Middle East"/>
        <s v="North Africa"/>
        <s v="Levant"/>
        <s v="Horn of Africa"/>
      </sharedItems>
    </cacheField>
    <cacheField name="Month" numFmtId="0">
      <sharedItems count="12">
        <s v="January"/>
        <s v="February"/>
        <s v="March"/>
        <s v="April"/>
        <s v="May"/>
        <s v="June"/>
        <s v="July"/>
        <s v="August"/>
        <s v="September"/>
        <s v="October"/>
        <s v="November"/>
        <s v="December"/>
      </sharedItems>
    </cacheField>
    <cacheField name="Week Number" numFmtId="0">
      <sharedItems containsSemiMixedTypes="0" containsString="0" containsNumber="1" containsInteger="1" minValue="1" maxValue="51" count="39">
        <n v="1"/>
        <n v="2"/>
        <n v="5"/>
        <n v="6"/>
        <n v="7"/>
        <n v="9"/>
        <n v="10"/>
        <n v="14"/>
        <n v="15"/>
        <n v="16"/>
        <n v="17"/>
        <n v="19"/>
        <n v="20"/>
        <n v="21"/>
        <n v="22"/>
        <n v="23"/>
        <n v="24"/>
        <n v="25"/>
        <n v="26"/>
        <n v="27"/>
        <n v="28"/>
        <n v="29"/>
        <n v="30"/>
        <n v="31"/>
        <n v="32"/>
        <n v="36"/>
        <n v="38"/>
        <n v="39"/>
        <n v="40"/>
        <n v="41"/>
        <n v="42"/>
        <n v="43"/>
        <n v="44"/>
        <n v="45"/>
        <n v="46"/>
        <n v="47"/>
        <n v="48"/>
        <n v="50"/>
        <n v="51"/>
      </sharedItems>
    </cacheField>
  </cacheFields>
  <extLst>
    <ext xmlns:x14="http://schemas.microsoft.com/office/spreadsheetml/2009/9/main" uri="{725AE2AE-9491-48be-B2B4-4EB974FC3084}">
      <x14:pivotCacheDefinition pivotCacheId="14675596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d v="2026-01-01T00:00:00"/>
    <x v="0"/>
    <x v="0"/>
    <n v="108.87"/>
    <n v="71"/>
    <n v="7729.77"/>
    <n v="1555.91"/>
    <x v="0"/>
    <x v="0"/>
    <x v="0"/>
    <x v="0"/>
  </r>
  <r>
    <n v="2"/>
    <d v="2026-01-02T00:00:00"/>
    <x v="1"/>
    <x v="1"/>
    <n v="14.99"/>
    <n v="25"/>
    <n v="374.75"/>
    <n v="41.96"/>
    <x v="1"/>
    <x v="0"/>
    <x v="0"/>
    <x v="0"/>
  </r>
  <r>
    <n v="3"/>
    <d v="2026-01-05T00:00:00"/>
    <x v="2"/>
    <x v="2"/>
    <n v="279.74"/>
    <n v="9"/>
    <n v="2517.66"/>
    <n v="597.76"/>
    <x v="2"/>
    <x v="1"/>
    <x v="0"/>
    <x v="1"/>
  </r>
  <r>
    <n v="4"/>
    <d v="2026-01-08T00:00:00"/>
    <x v="0"/>
    <x v="3"/>
    <n v="494.57"/>
    <n v="48"/>
    <n v="23739.360000000001"/>
    <n v="5261.71"/>
    <x v="3"/>
    <x v="1"/>
    <x v="0"/>
    <x v="1"/>
  </r>
  <r>
    <n v="5"/>
    <d v="2026-01-10T00:00:00"/>
    <x v="3"/>
    <x v="4"/>
    <n v="154.05000000000001"/>
    <n v="41"/>
    <n v="6316.05"/>
    <n v="1530.86"/>
    <x v="4"/>
    <x v="2"/>
    <x v="0"/>
    <x v="1"/>
  </r>
  <r>
    <n v="6"/>
    <d v="2026-02-01T00:00:00"/>
    <x v="1"/>
    <x v="0"/>
    <n v="118.71"/>
    <n v="45"/>
    <n v="5341.95"/>
    <n v="1598.26"/>
    <x v="2"/>
    <x v="1"/>
    <x v="1"/>
    <x v="2"/>
  </r>
  <r>
    <n v="7"/>
    <d v="2026-02-03T00:00:00"/>
    <x v="2"/>
    <x v="0"/>
    <n v="41.4"/>
    <n v="35"/>
    <n v="1449"/>
    <n v="167.95"/>
    <x v="5"/>
    <x v="2"/>
    <x v="1"/>
    <x v="3"/>
  </r>
  <r>
    <n v="8"/>
    <d v="2026-02-07T00:00:00"/>
    <x v="3"/>
    <x v="5"/>
    <n v="230.25"/>
    <n v="41"/>
    <n v="9440.25"/>
    <n v="1306.6400000000001"/>
    <x v="6"/>
    <x v="0"/>
    <x v="1"/>
    <x v="3"/>
  </r>
  <r>
    <n v="9"/>
    <d v="2026-02-10T00:00:00"/>
    <x v="0"/>
    <x v="0"/>
    <n v="323.89"/>
    <n v="15"/>
    <n v="4858.3499999999995"/>
    <n v="1044.9000000000001"/>
    <x v="0"/>
    <x v="0"/>
    <x v="1"/>
    <x v="4"/>
  </r>
  <r>
    <n v="10"/>
    <d v="2026-03-01T00:00:00"/>
    <x v="1"/>
    <x v="6"/>
    <n v="73.900000000000006"/>
    <n v="32"/>
    <n v="2364.8000000000002"/>
    <n v="649.15"/>
    <x v="1"/>
    <x v="0"/>
    <x v="2"/>
    <x v="5"/>
  </r>
  <r>
    <n v="11"/>
    <d v="2026-03-04T00:00:00"/>
    <x v="2"/>
    <x v="7"/>
    <n v="256.13"/>
    <n v="23"/>
    <n v="5890.99"/>
    <n v="1647.48"/>
    <x v="2"/>
    <x v="1"/>
    <x v="2"/>
    <x v="6"/>
  </r>
  <r>
    <n v="12"/>
    <d v="2026-03-06T00:00:00"/>
    <x v="0"/>
    <x v="2"/>
    <n v="347.78"/>
    <n v="65"/>
    <n v="22605.699999999997"/>
    <n v="5907.7"/>
    <x v="3"/>
    <x v="1"/>
    <x v="2"/>
    <x v="6"/>
  </r>
  <r>
    <n v="13"/>
    <d v="2026-03-08T00:00:00"/>
    <x v="1"/>
    <x v="8"/>
    <n v="463.21"/>
    <n v="97"/>
    <n v="44931.369999999995"/>
    <n v="9210.31"/>
    <x v="2"/>
    <x v="1"/>
    <x v="2"/>
    <x v="6"/>
  </r>
  <r>
    <n v="14"/>
    <d v="2026-04-02T00:00:00"/>
    <x v="2"/>
    <x v="7"/>
    <n v="482.83"/>
    <n v="87"/>
    <n v="42006.21"/>
    <n v="11238.71"/>
    <x v="7"/>
    <x v="2"/>
    <x v="3"/>
    <x v="7"/>
  </r>
  <r>
    <n v="15"/>
    <d v="2026-04-05T00:00:00"/>
    <x v="3"/>
    <x v="5"/>
    <n v="90.53"/>
    <n v="72"/>
    <n v="6518.16"/>
    <n v="663.22"/>
    <x v="4"/>
    <x v="2"/>
    <x v="3"/>
    <x v="7"/>
  </r>
  <r>
    <n v="16"/>
    <d v="2026-04-07T00:00:00"/>
    <x v="0"/>
    <x v="9"/>
    <n v="192.73"/>
    <n v="10"/>
    <n v="1927.3"/>
    <n v="222.11"/>
    <x v="0"/>
    <x v="0"/>
    <x v="3"/>
    <x v="8"/>
  </r>
  <r>
    <n v="17"/>
    <d v="2026-04-10T00:00:00"/>
    <x v="1"/>
    <x v="10"/>
    <n v="444.12"/>
    <n v="49"/>
    <n v="21761.88"/>
    <n v="5867.18"/>
    <x v="1"/>
    <x v="0"/>
    <x v="3"/>
    <x v="8"/>
  </r>
  <r>
    <n v="18"/>
    <d v="2026-04-12T00:00:00"/>
    <x v="2"/>
    <x v="8"/>
    <n v="476.79"/>
    <n v="8"/>
    <n v="3814.32"/>
    <n v="717.27"/>
    <x v="2"/>
    <x v="1"/>
    <x v="3"/>
    <x v="8"/>
  </r>
  <r>
    <n v="19"/>
    <d v="2026-04-14T00:00:00"/>
    <x v="3"/>
    <x v="11"/>
    <n v="497"/>
    <n v="21"/>
    <n v="10437"/>
    <n v="1860.89"/>
    <x v="3"/>
    <x v="1"/>
    <x v="3"/>
    <x v="9"/>
  </r>
  <r>
    <n v="20"/>
    <d v="2026-04-16T00:00:00"/>
    <x v="0"/>
    <x v="1"/>
    <n v="292.5"/>
    <n v="64"/>
    <n v="18720"/>
    <n v="2091.42"/>
    <x v="2"/>
    <x v="1"/>
    <x v="3"/>
    <x v="9"/>
  </r>
  <r>
    <n v="21"/>
    <d v="2026-04-18T00:00:00"/>
    <x v="2"/>
    <x v="12"/>
    <n v="345.7"/>
    <n v="98"/>
    <n v="33878.6"/>
    <n v="7700.14"/>
    <x v="7"/>
    <x v="2"/>
    <x v="3"/>
    <x v="9"/>
  </r>
  <r>
    <n v="22"/>
    <d v="2026-04-20T00:00:00"/>
    <x v="3"/>
    <x v="5"/>
    <n v="309.81"/>
    <n v="80"/>
    <n v="24784.799999999999"/>
    <n v="6238.83"/>
    <x v="4"/>
    <x v="2"/>
    <x v="3"/>
    <x v="10"/>
  </r>
  <r>
    <n v="23"/>
    <d v="2026-04-22T00:00:00"/>
    <x v="0"/>
    <x v="13"/>
    <n v="198.03"/>
    <n v="88"/>
    <n v="17426.64"/>
    <n v="2102.69"/>
    <x v="0"/>
    <x v="0"/>
    <x v="3"/>
    <x v="10"/>
  </r>
  <r>
    <n v="24"/>
    <d v="2026-05-05T00:00:00"/>
    <x v="1"/>
    <x v="1"/>
    <n v="398.97"/>
    <n v="84"/>
    <n v="33513.480000000003"/>
    <n v="8721.85"/>
    <x v="1"/>
    <x v="0"/>
    <x v="4"/>
    <x v="11"/>
  </r>
  <r>
    <n v="25"/>
    <d v="2026-05-07T00:00:00"/>
    <x v="2"/>
    <x v="13"/>
    <n v="79.510000000000005"/>
    <n v="19"/>
    <n v="1510.69"/>
    <n v="319.61"/>
    <x v="2"/>
    <x v="1"/>
    <x v="4"/>
    <x v="11"/>
  </r>
  <r>
    <n v="26"/>
    <d v="2026-05-09T00:00:00"/>
    <x v="3"/>
    <x v="14"/>
    <n v="110.28"/>
    <n v="71"/>
    <n v="7829.88"/>
    <n v="1101.8399999999999"/>
    <x v="3"/>
    <x v="1"/>
    <x v="4"/>
    <x v="11"/>
  </r>
  <r>
    <n v="27"/>
    <d v="2026-05-11T00:00:00"/>
    <x v="0"/>
    <x v="8"/>
    <n v="243.37"/>
    <n v="26"/>
    <n v="6327.62"/>
    <n v="667.86"/>
    <x v="5"/>
    <x v="1"/>
    <x v="4"/>
    <x v="12"/>
  </r>
  <r>
    <n v="28"/>
    <d v="2026-05-13T00:00:00"/>
    <x v="1"/>
    <x v="15"/>
    <n v="395.39"/>
    <n v="84"/>
    <n v="33212.76"/>
    <n v="9620.9599999999991"/>
    <x v="7"/>
    <x v="2"/>
    <x v="4"/>
    <x v="12"/>
  </r>
  <r>
    <n v="29"/>
    <d v="2026-05-15T00:00:00"/>
    <x v="2"/>
    <x v="9"/>
    <n v="366.38"/>
    <n v="23"/>
    <n v="8426.74"/>
    <n v="1293.47"/>
    <x v="4"/>
    <x v="2"/>
    <x v="4"/>
    <x v="12"/>
  </r>
  <r>
    <n v="30"/>
    <d v="2026-05-17T00:00:00"/>
    <x v="3"/>
    <x v="13"/>
    <n v="144.77000000000001"/>
    <n v="7"/>
    <n v="1013.3900000000001"/>
    <n v="181.81"/>
    <x v="0"/>
    <x v="0"/>
    <x v="4"/>
    <x v="12"/>
  </r>
  <r>
    <n v="31"/>
    <d v="2026-05-19T00:00:00"/>
    <x v="0"/>
    <x v="1"/>
    <n v="394.39"/>
    <n v="25"/>
    <n v="9859.75"/>
    <n v="2470.4499999999998"/>
    <x v="1"/>
    <x v="0"/>
    <x v="4"/>
    <x v="13"/>
  </r>
  <r>
    <n v="32"/>
    <d v="2026-05-21T00:00:00"/>
    <x v="1"/>
    <x v="16"/>
    <n v="16.510000000000002"/>
    <n v="83"/>
    <n v="1370.3300000000002"/>
    <n v="372.32"/>
    <x v="2"/>
    <x v="1"/>
    <x v="4"/>
    <x v="13"/>
  </r>
  <r>
    <n v="33"/>
    <d v="2026-05-23T00:00:00"/>
    <x v="2"/>
    <x v="7"/>
    <n v="245.98"/>
    <n v="5"/>
    <n v="1229.8999999999999"/>
    <n v="216.79"/>
    <x v="3"/>
    <x v="1"/>
    <x v="4"/>
    <x v="13"/>
  </r>
  <r>
    <n v="34"/>
    <d v="2026-05-25T00:00:00"/>
    <x v="3"/>
    <x v="17"/>
    <n v="8.59"/>
    <n v="40"/>
    <n v="343.6"/>
    <n v="38.68"/>
    <x v="2"/>
    <x v="1"/>
    <x v="4"/>
    <x v="14"/>
  </r>
  <r>
    <n v="35"/>
    <d v="2026-05-27T00:00:00"/>
    <x v="0"/>
    <x v="0"/>
    <n v="216.97"/>
    <n v="41"/>
    <n v="8895.77"/>
    <n v="988.29"/>
    <x v="7"/>
    <x v="2"/>
    <x v="4"/>
    <x v="14"/>
  </r>
  <r>
    <n v="36"/>
    <d v="2026-05-29T00:00:00"/>
    <x v="1"/>
    <x v="10"/>
    <n v="154.37"/>
    <n v="42"/>
    <n v="6483.54"/>
    <n v="1756.56"/>
    <x v="4"/>
    <x v="2"/>
    <x v="4"/>
    <x v="14"/>
  </r>
  <r>
    <n v="37"/>
    <d v="2026-06-01T00:00:00"/>
    <x v="2"/>
    <x v="2"/>
    <n v="133.82"/>
    <n v="12"/>
    <n v="1605.84"/>
    <n v="444.39"/>
    <x v="0"/>
    <x v="0"/>
    <x v="5"/>
    <x v="15"/>
  </r>
  <r>
    <n v="38"/>
    <d v="2026-06-03T00:00:00"/>
    <x v="3"/>
    <x v="10"/>
    <n v="62.17"/>
    <n v="38"/>
    <n v="2362.46"/>
    <n v="456"/>
    <x v="1"/>
    <x v="0"/>
    <x v="5"/>
    <x v="15"/>
  </r>
  <r>
    <n v="39"/>
    <d v="2026-06-05T00:00:00"/>
    <x v="0"/>
    <x v="15"/>
    <n v="489.76"/>
    <n v="34"/>
    <n v="16651.84"/>
    <n v="4086.81"/>
    <x v="2"/>
    <x v="1"/>
    <x v="5"/>
    <x v="15"/>
  </r>
  <r>
    <n v="40"/>
    <d v="2026-06-07T00:00:00"/>
    <x v="1"/>
    <x v="1"/>
    <n v="82.51"/>
    <n v="70"/>
    <n v="5775.7000000000007"/>
    <n v="819.48"/>
    <x v="8"/>
    <x v="0"/>
    <x v="5"/>
    <x v="15"/>
  </r>
  <r>
    <n v="41"/>
    <d v="2026-06-09T00:00:00"/>
    <x v="2"/>
    <x v="10"/>
    <n v="456.74"/>
    <n v="22"/>
    <n v="10048.280000000001"/>
    <n v="2509.0500000000002"/>
    <x v="2"/>
    <x v="1"/>
    <x v="5"/>
    <x v="16"/>
  </r>
  <r>
    <n v="42"/>
    <d v="2026-06-10T00:00:00"/>
    <x v="3"/>
    <x v="17"/>
    <n v="105.66"/>
    <n v="83"/>
    <n v="8769.7799999999988"/>
    <n v="1866.03"/>
    <x v="7"/>
    <x v="2"/>
    <x v="5"/>
    <x v="16"/>
  </r>
  <r>
    <n v="43"/>
    <d v="2026-06-12T00:00:00"/>
    <x v="0"/>
    <x v="17"/>
    <n v="297.55"/>
    <n v="31"/>
    <n v="9224.0500000000011"/>
    <n v="974.28"/>
    <x v="4"/>
    <x v="2"/>
    <x v="5"/>
    <x v="16"/>
  </r>
  <r>
    <n v="44"/>
    <d v="2026-06-14T00:00:00"/>
    <x v="1"/>
    <x v="0"/>
    <n v="9.6999999999999993"/>
    <n v="93"/>
    <n v="902.09999999999991"/>
    <n v="207.12"/>
    <x v="0"/>
    <x v="0"/>
    <x v="5"/>
    <x v="16"/>
  </r>
  <r>
    <n v="45"/>
    <d v="2026-06-16T00:00:00"/>
    <x v="2"/>
    <x v="18"/>
    <n v="217.66"/>
    <n v="85"/>
    <n v="18501.099999999999"/>
    <n v="5303.18"/>
    <x v="1"/>
    <x v="0"/>
    <x v="5"/>
    <x v="17"/>
  </r>
  <r>
    <n v="46"/>
    <d v="2026-06-18T00:00:00"/>
    <x v="3"/>
    <x v="17"/>
    <n v="424.73"/>
    <n v="64"/>
    <n v="27182.720000000001"/>
    <n v="4546.59"/>
    <x v="9"/>
    <x v="0"/>
    <x v="5"/>
    <x v="17"/>
  </r>
  <r>
    <n v="47"/>
    <d v="2026-06-20T00:00:00"/>
    <x v="0"/>
    <x v="19"/>
    <n v="250.93"/>
    <n v="52"/>
    <n v="13048.36"/>
    <n v="2802.37"/>
    <x v="3"/>
    <x v="1"/>
    <x v="5"/>
    <x v="17"/>
  </r>
  <r>
    <n v="48"/>
    <d v="2026-06-22T00:00:00"/>
    <x v="1"/>
    <x v="15"/>
    <n v="340.54"/>
    <n v="60"/>
    <n v="20432.400000000001"/>
    <n v="3880.07"/>
    <x v="2"/>
    <x v="1"/>
    <x v="5"/>
    <x v="18"/>
  </r>
  <r>
    <n v="49"/>
    <d v="2026-06-24T00:00:00"/>
    <x v="0"/>
    <x v="15"/>
    <n v="205.69"/>
    <n v="23"/>
    <n v="4730.87"/>
    <n v="770.78"/>
    <x v="7"/>
    <x v="2"/>
    <x v="5"/>
    <x v="18"/>
  </r>
  <r>
    <n v="50"/>
    <d v="2026-06-26T00:00:00"/>
    <x v="1"/>
    <x v="13"/>
    <n v="355.06"/>
    <n v="60"/>
    <n v="21303.599999999999"/>
    <n v="4040.29"/>
    <x v="4"/>
    <x v="2"/>
    <x v="5"/>
    <x v="18"/>
  </r>
  <r>
    <n v="51"/>
    <d v="2026-07-01T00:00:00"/>
    <x v="2"/>
    <x v="12"/>
    <n v="47.9"/>
    <n v="3"/>
    <n v="143.69999999999999"/>
    <n v="35.200000000000003"/>
    <x v="9"/>
    <x v="0"/>
    <x v="6"/>
    <x v="19"/>
  </r>
  <r>
    <n v="52"/>
    <d v="2026-07-03T00:00:00"/>
    <x v="0"/>
    <x v="19"/>
    <n v="154.86000000000001"/>
    <n v="95"/>
    <n v="14711.7"/>
    <n v="3263.14"/>
    <x v="3"/>
    <x v="1"/>
    <x v="6"/>
    <x v="19"/>
  </r>
  <r>
    <n v="53"/>
    <d v="2026-07-05T00:00:00"/>
    <x v="1"/>
    <x v="6"/>
    <n v="124.48"/>
    <n v="100"/>
    <n v="12448"/>
    <n v="1583.47"/>
    <x v="3"/>
    <x v="1"/>
    <x v="6"/>
    <x v="19"/>
  </r>
  <r>
    <n v="54"/>
    <d v="2026-07-07T00:00:00"/>
    <x v="2"/>
    <x v="12"/>
    <n v="455.65"/>
    <n v="7"/>
    <n v="3189.5499999999997"/>
    <n v="733.81"/>
    <x v="8"/>
    <x v="0"/>
    <x v="6"/>
    <x v="20"/>
  </r>
  <r>
    <n v="55"/>
    <d v="2026-07-09T00:00:00"/>
    <x v="3"/>
    <x v="1"/>
    <n v="116.49"/>
    <n v="74"/>
    <n v="8620.26"/>
    <n v="2218.9499999999998"/>
    <x v="3"/>
    <x v="1"/>
    <x v="6"/>
    <x v="20"/>
  </r>
  <r>
    <n v="56"/>
    <d v="2026-07-11T00:00:00"/>
    <x v="0"/>
    <x v="5"/>
    <n v="388.59"/>
    <n v="27"/>
    <n v="10491.929999999998"/>
    <n v="2943.5"/>
    <x v="2"/>
    <x v="1"/>
    <x v="6"/>
    <x v="20"/>
  </r>
  <r>
    <n v="57"/>
    <d v="2026-07-13T00:00:00"/>
    <x v="1"/>
    <x v="1"/>
    <n v="118.31"/>
    <n v="53"/>
    <n v="6270.43"/>
    <n v="1695.73"/>
    <x v="10"/>
    <x v="1"/>
    <x v="6"/>
    <x v="21"/>
  </r>
  <r>
    <n v="58"/>
    <d v="2026-07-15T00:00:00"/>
    <x v="2"/>
    <x v="8"/>
    <n v="435.09"/>
    <n v="80"/>
    <n v="34807.199999999997"/>
    <n v="8272.34"/>
    <x v="3"/>
    <x v="1"/>
    <x v="6"/>
    <x v="21"/>
  </r>
  <r>
    <n v="59"/>
    <d v="2026-07-17T00:00:00"/>
    <x v="3"/>
    <x v="2"/>
    <n v="211.04"/>
    <n v="30"/>
    <n v="6331.2"/>
    <n v="1001.46"/>
    <x v="3"/>
    <x v="1"/>
    <x v="6"/>
    <x v="21"/>
  </r>
  <r>
    <n v="60"/>
    <d v="2026-07-19T00:00:00"/>
    <x v="0"/>
    <x v="0"/>
    <n v="444.11"/>
    <n v="54"/>
    <n v="23981.940000000002"/>
    <n v="3183.02"/>
    <x v="11"/>
    <x v="0"/>
    <x v="6"/>
    <x v="21"/>
  </r>
  <r>
    <n v="61"/>
    <d v="2026-07-21T00:00:00"/>
    <x v="2"/>
    <x v="13"/>
    <n v="330.91"/>
    <n v="24"/>
    <n v="7941.84"/>
    <n v="1299.6400000000001"/>
    <x v="3"/>
    <x v="1"/>
    <x v="6"/>
    <x v="22"/>
  </r>
  <r>
    <n v="62"/>
    <d v="2026-07-23T00:00:00"/>
    <x v="3"/>
    <x v="8"/>
    <n v="461.53"/>
    <n v="46"/>
    <n v="21230.379999999997"/>
    <n v="2577.8000000000002"/>
    <x v="12"/>
    <x v="3"/>
    <x v="6"/>
    <x v="22"/>
  </r>
  <r>
    <n v="63"/>
    <d v="2026-07-25T00:00:00"/>
    <x v="0"/>
    <x v="12"/>
    <n v="202.13"/>
    <n v="53"/>
    <n v="10712.89"/>
    <n v="2000.92"/>
    <x v="13"/>
    <x v="3"/>
    <x v="6"/>
    <x v="22"/>
  </r>
  <r>
    <n v="64"/>
    <d v="2026-07-27T00:00:00"/>
    <x v="1"/>
    <x v="4"/>
    <n v="149.88999999999999"/>
    <n v="71"/>
    <n v="10642.189999999999"/>
    <n v="2316.2399999999998"/>
    <x v="3"/>
    <x v="1"/>
    <x v="6"/>
    <x v="23"/>
  </r>
  <r>
    <n v="65"/>
    <d v="2026-07-29T00:00:00"/>
    <x v="2"/>
    <x v="0"/>
    <n v="329.52"/>
    <n v="37"/>
    <n v="12192.24"/>
    <n v="3391.73"/>
    <x v="3"/>
    <x v="1"/>
    <x v="6"/>
    <x v="23"/>
  </r>
  <r>
    <n v="66"/>
    <d v="2026-07-31T00:00:00"/>
    <x v="4"/>
    <x v="15"/>
    <n v="151.63999999999999"/>
    <n v="34"/>
    <n v="5155.7599999999993"/>
    <n v="519.52"/>
    <x v="14"/>
    <x v="0"/>
    <x v="6"/>
    <x v="23"/>
  </r>
  <r>
    <n v="67"/>
    <d v="2026-08-01T00:00:00"/>
    <x v="5"/>
    <x v="19"/>
    <n v="490"/>
    <n v="95"/>
    <n v="46550"/>
    <n v="6676.33"/>
    <x v="14"/>
    <x v="0"/>
    <x v="7"/>
    <x v="23"/>
  </r>
  <r>
    <n v="68"/>
    <d v="2026-08-03T00:00:00"/>
    <x v="6"/>
    <x v="15"/>
    <n v="257.55"/>
    <n v="38"/>
    <n v="9786.9"/>
    <n v="1541.49"/>
    <x v="2"/>
    <x v="1"/>
    <x v="7"/>
    <x v="24"/>
  </r>
  <r>
    <n v="69"/>
    <d v="2026-08-05T00:00:00"/>
    <x v="7"/>
    <x v="7"/>
    <n v="442.86"/>
    <n v="65"/>
    <n v="28785.9"/>
    <n v="5660.28"/>
    <x v="3"/>
    <x v="1"/>
    <x v="7"/>
    <x v="24"/>
  </r>
  <r>
    <n v="70"/>
    <d v="2026-08-07T00:00:00"/>
    <x v="8"/>
    <x v="6"/>
    <n v="459.77"/>
    <n v="64"/>
    <n v="29425.279999999999"/>
    <n v="8347.85"/>
    <x v="2"/>
    <x v="1"/>
    <x v="7"/>
    <x v="24"/>
  </r>
  <r>
    <n v="71"/>
    <d v="2026-09-01T00:00:00"/>
    <x v="9"/>
    <x v="5"/>
    <n v="219.86"/>
    <n v="69"/>
    <n v="15170.34"/>
    <n v="3820.08"/>
    <x v="3"/>
    <x v="1"/>
    <x v="8"/>
    <x v="25"/>
  </r>
  <r>
    <n v="72"/>
    <d v="2026-09-05T00:00:00"/>
    <x v="10"/>
    <x v="8"/>
    <n v="308.70999999999998"/>
    <n v="10"/>
    <n v="3087.1"/>
    <n v="655.75"/>
    <x v="2"/>
    <x v="1"/>
    <x v="8"/>
    <x v="25"/>
  </r>
  <r>
    <n v="73"/>
    <d v="2026-09-17T00:00:00"/>
    <x v="11"/>
    <x v="14"/>
    <n v="257.07"/>
    <n v="32"/>
    <n v="8226.24"/>
    <n v="2180.14"/>
    <x v="2"/>
    <x v="1"/>
    <x v="8"/>
    <x v="26"/>
  </r>
  <r>
    <n v="74"/>
    <d v="2026-09-19T00:00:00"/>
    <x v="12"/>
    <x v="13"/>
    <n v="215.32"/>
    <n v="87"/>
    <n v="18732.84"/>
    <n v="4877.93"/>
    <x v="10"/>
    <x v="1"/>
    <x v="8"/>
    <x v="26"/>
  </r>
  <r>
    <n v="75"/>
    <d v="2026-09-20T00:00:00"/>
    <x v="13"/>
    <x v="1"/>
    <n v="398.01"/>
    <n v="48"/>
    <n v="19104.48"/>
    <n v="5575.04"/>
    <x v="3"/>
    <x v="1"/>
    <x v="8"/>
    <x v="26"/>
  </r>
  <r>
    <n v="76"/>
    <d v="2026-09-20T00:00:00"/>
    <x v="14"/>
    <x v="5"/>
    <n v="81.41"/>
    <n v="48"/>
    <n v="3907.68"/>
    <n v="405.65"/>
    <x v="11"/>
    <x v="0"/>
    <x v="8"/>
    <x v="26"/>
  </r>
  <r>
    <n v="77"/>
    <d v="2026-09-25T00:00:00"/>
    <x v="15"/>
    <x v="12"/>
    <n v="474.08"/>
    <n v="43"/>
    <n v="20385.439999999999"/>
    <n v="4951.41"/>
    <x v="11"/>
    <x v="0"/>
    <x v="8"/>
    <x v="27"/>
  </r>
  <r>
    <n v="78"/>
    <d v="2026-09-25T00:00:00"/>
    <x v="6"/>
    <x v="11"/>
    <n v="141.16"/>
    <n v="8"/>
    <n v="1129.28"/>
    <n v="315.36"/>
    <x v="3"/>
    <x v="1"/>
    <x v="8"/>
    <x v="27"/>
  </r>
  <r>
    <n v="79"/>
    <d v="2026-09-26T00:00:00"/>
    <x v="16"/>
    <x v="3"/>
    <n v="484.42"/>
    <n v="36"/>
    <n v="17439.12"/>
    <n v="4893.78"/>
    <x v="3"/>
    <x v="1"/>
    <x v="8"/>
    <x v="27"/>
  </r>
  <r>
    <n v="80"/>
    <d v="2026-09-27T00:00:00"/>
    <x v="5"/>
    <x v="11"/>
    <n v="484.53"/>
    <n v="94"/>
    <n v="45545.82"/>
    <n v="11476.85"/>
    <x v="12"/>
    <x v="3"/>
    <x v="8"/>
    <x v="27"/>
  </r>
  <r>
    <n v="81"/>
    <d v="2026-09-29T00:00:00"/>
    <x v="7"/>
    <x v="11"/>
    <n v="389.92"/>
    <n v="41"/>
    <n v="15986.720000000001"/>
    <n v="3120.26"/>
    <x v="13"/>
    <x v="3"/>
    <x v="8"/>
    <x v="28"/>
  </r>
  <r>
    <n v="82"/>
    <d v="2026-10-10T00:00:00"/>
    <x v="17"/>
    <x v="10"/>
    <n v="329.58"/>
    <n v="94"/>
    <n v="30980.519999999997"/>
    <n v="8740.64"/>
    <x v="3"/>
    <x v="1"/>
    <x v="9"/>
    <x v="29"/>
  </r>
  <r>
    <n v="83"/>
    <d v="2026-10-14T00:00:00"/>
    <x v="1"/>
    <x v="10"/>
    <n v="467.19"/>
    <n v="73"/>
    <n v="34104.870000000003"/>
    <n v="5347"/>
    <x v="15"/>
    <x v="0"/>
    <x v="9"/>
    <x v="30"/>
  </r>
  <r>
    <n v="84"/>
    <d v="2026-10-20T00:00:00"/>
    <x v="2"/>
    <x v="2"/>
    <n v="365.96"/>
    <n v="90"/>
    <n v="32936.400000000001"/>
    <n v="6814.21"/>
    <x v="3"/>
    <x v="1"/>
    <x v="9"/>
    <x v="31"/>
  </r>
  <r>
    <n v="85"/>
    <d v="2026-11-01T00:00:00"/>
    <x v="3"/>
    <x v="18"/>
    <n v="42.68"/>
    <n v="99"/>
    <n v="4225.32"/>
    <n v="1254.96"/>
    <x v="3"/>
    <x v="1"/>
    <x v="10"/>
    <x v="32"/>
  </r>
  <r>
    <n v="86"/>
    <d v="2026-11-02T00:00:00"/>
    <x v="0"/>
    <x v="18"/>
    <n v="31.73"/>
    <n v="79"/>
    <n v="2506.67"/>
    <n v="390.27"/>
    <x v="16"/>
    <x v="1"/>
    <x v="10"/>
    <x v="33"/>
  </r>
  <r>
    <n v="87"/>
    <d v="2026-11-02T00:00:00"/>
    <x v="2"/>
    <x v="10"/>
    <n v="354.86"/>
    <n v="8"/>
    <n v="2838.88"/>
    <n v="785.96"/>
    <x v="15"/>
    <x v="0"/>
    <x v="10"/>
    <x v="33"/>
  </r>
  <r>
    <n v="88"/>
    <d v="2026-11-03T00:00:00"/>
    <x v="3"/>
    <x v="11"/>
    <n v="262.32"/>
    <n v="2"/>
    <n v="524.64"/>
    <n v="118.76"/>
    <x v="3"/>
    <x v="1"/>
    <x v="10"/>
    <x v="33"/>
  </r>
  <r>
    <n v="89"/>
    <d v="2026-11-08T00:00:00"/>
    <x v="0"/>
    <x v="0"/>
    <n v="160.91"/>
    <n v="68"/>
    <n v="10941.88"/>
    <n v="1312.82"/>
    <x v="3"/>
    <x v="1"/>
    <x v="10"/>
    <x v="33"/>
  </r>
  <r>
    <n v="90"/>
    <d v="2026-11-15T00:00:00"/>
    <x v="1"/>
    <x v="11"/>
    <n v="252.81"/>
    <n v="99"/>
    <n v="25028.19"/>
    <n v="6539.14"/>
    <x v="17"/>
    <x v="0"/>
    <x v="10"/>
    <x v="34"/>
  </r>
  <r>
    <n v="91"/>
    <d v="2026-11-20T00:00:00"/>
    <x v="2"/>
    <x v="4"/>
    <n v="494.91"/>
    <n v="65"/>
    <n v="32169.15"/>
    <n v="6524.36"/>
    <x v="17"/>
    <x v="0"/>
    <x v="10"/>
    <x v="35"/>
  </r>
  <r>
    <n v="92"/>
    <d v="2026-11-21T00:00:00"/>
    <x v="3"/>
    <x v="12"/>
    <n v="228.21"/>
    <n v="97"/>
    <n v="22136.37"/>
    <n v="5350.5"/>
    <x v="10"/>
    <x v="1"/>
    <x v="10"/>
    <x v="35"/>
  </r>
  <r>
    <n v="93"/>
    <d v="2026-11-25T00:00:00"/>
    <x v="0"/>
    <x v="5"/>
    <n v="243.82"/>
    <n v="96"/>
    <n v="23406.720000000001"/>
    <n v="6223.1"/>
    <x v="16"/>
    <x v="1"/>
    <x v="10"/>
    <x v="36"/>
  </r>
  <r>
    <n v="94"/>
    <d v="2026-11-28T00:00:00"/>
    <x v="1"/>
    <x v="15"/>
    <n v="417.56"/>
    <n v="99"/>
    <n v="41338.44"/>
    <n v="4203.12"/>
    <x v="3"/>
    <x v="1"/>
    <x v="10"/>
    <x v="36"/>
  </r>
  <r>
    <n v="95"/>
    <d v="2026-11-29T00:00:00"/>
    <x v="2"/>
    <x v="4"/>
    <n v="343.46"/>
    <n v="97"/>
    <n v="33315.619999999995"/>
    <n v="6520.91"/>
    <x v="3"/>
    <x v="1"/>
    <x v="10"/>
    <x v="36"/>
  </r>
  <r>
    <n v="96"/>
    <d v="2026-12-07T00:00:00"/>
    <x v="3"/>
    <x v="1"/>
    <n v="7.33"/>
    <n v="30"/>
    <n v="219.9"/>
    <n v="53.53"/>
    <x v="18"/>
    <x v="0"/>
    <x v="11"/>
    <x v="37"/>
  </r>
  <r>
    <n v="97"/>
    <d v="2026-12-09T00:00:00"/>
    <x v="0"/>
    <x v="16"/>
    <n v="272.64999999999998"/>
    <n v="25"/>
    <n v="6816.2499999999991"/>
    <n v="1966.28"/>
    <x v="3"/>
    <x v="1"/>
    <x v="11"/>
    <x v="37"/>
  </r>
  <r>
    <n v="98"/>
    <d v="2026-12-13T00:00:00"/>
    <x v="1"/>
    <x v="10"/>
    <n v="98.78"/>
    <n v="7"/>
    <n v="691.46"/>
    <n v="165.55"/>
    <x v="18"/>
    <x v="0"/>
    <x v="11"/>
    <x v="37"/>
  </r>
  <r>
    <n v="99"/>
    <d v="2026-12-15T00:00:00"/>
    <x v="2"/>
    <x v="15"/>
    <n v="36.14"/>
    <n v="52"/>
    <n v="1879.28"/>
    <n v="441.35"/>
    <x v="16"/>
    <x v="1"/>
    <x v="11"/>
    <x v="38"/>
  </r>
  <r>
    <n v="100"/>
    <d v="2026-12-16T00:00:00"/>
    <x v="3"/>
    <x v="14"/>
    <n v="323.49"/>
    <n v="86"/>
    <n v="27820.14"/>
    <n v="4153.8500000000004"/>
    <x v="16"/>
    <x v="1"/>
    <x v="11"/>
    <x v="3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5C62163-F100-4462-94F0-6932139CFF30}" name="Top 10 Products"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H4:I24" firstHeaderRow="1" firstDataRow="1" firstDataCol="1"/>
  <pivotFields count="12">
    <pivotField showAll="0"/>
    <pivotField numFmtId="14" showAll="0"/>
    <pivotField showAll="0"/>
    <pivotField axis="axisRow" showAll="0" sortType="descending">
      <items count="21">
        <item x="10"/>
        <item x="19"/>
        <item x="1"/>
        <item x="8"/>
        <item x="14"/>
        <item x="12"/>
        <item x="0"/>
        <item x="7"/>
        <item x="16"/>
        <item x="3"/>
        <item x="5"/>
        <item x="18"/>
        <item x="4"/>
        <item x="9"/>
        <item x="15"/>
        <item x="2"/>
        <item x="13"/>
        <item x="11"/>
        <item x="6"/>
        <item x="17"/>
        <item t="default"/>
      </items>
      <autoSortScope>
        <pivotArea dataOnly="0" outline="0" fieldPosition="0">
          <references count="1">
            <reference field="4294967294" count="1" selected="0">
              <x v="0"/>
            </reference>
          </references>
        </pivotArea>
      </autoSortScope>
    </pivotField>
    <pivotField numFmtId="164" showAll="0"/>
    <pivotField showAll="0"/>
    <pivotField dataField="1" numFmtId="164" showAll="0"/>
    <pivotField numFmtId="164" showAll="0"/>
    <pivotField showAll="0"/>
    <pivotField showAll="0">
      <items count="5">
        <item x="3"/>
        <item x="2"/>
        <item x="0"/>
        <item x="1"/>
        <item t="default"/>
      </items>
    </pivotField>
    <pivotField showAll="0">
      <items count="13">
        <item x="0"/>
        <item x="1"/>
        <item x="2"/>
        <item x="3"/>
        <item x="4"/>
        <item x="5"/>
        <item x="6"/>
        <item x="7"/>
        <item x="8"/>
        <item x="9"/>
        <item x="10"/>
        <item x="11"/>
        <item t="default"/>
      </items>
    </pivotField>
    <pivotField showAll="0"/>
  </pivotFields>
  <rowFields count="1">
    <field x="3"/>
  </rowFields>
  <rowItems count="20">
    <i>
      <x v="14"/>
    </i>
    <i>
      <x v="3"/>
    </i>
    <i>
      <x/>
    </i>
    <i>
      <x v="2"/>
    </i>
    <i>
      <x v="17"/>
    </i>
    <i>
      <x v="10"/>
    </i>
    <i>
      <x v="5"/>
    </i>
    <i>
      <x v="12"/>
    </i>
    <i>
      <x v="7"/>
    </i>
    <i>
      <x v="6"/>
    </i>
    <i>
      <x v="1"/>
    </i>
    <i>
      <x v="16"/>
    </i>
    <i>
      <x v="15"/>
    </i>
    <i>
      <x v="19"/>
    </i>
    <i>
      <x v="18"/>
    </i>
    <i>
      <x v="4"/>
    </i>
    <i>
      <x v="9"/>
    </i>
    <i>
      <x v="11"/>
    </i>
    <i>
      <x v="13"/>
    </i>
    <i>
      <x v="8"/>
    </i>
  </rowItems>
  <colItems count="1">
    <i/>
  </colItems>
  <dataFields count="1">
    <dataField name="Sum of Sales" fld="6"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5EFD385-942D-4403-906C-3A285071292C}" name="SalesBY Region"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L3:M7" firstHeaderRow="1" firstDataRow="1" firstDataCol="1"/>
  <pivotFields count="12">
    <pivotField showAll="0"/>
    <pivotField numFmtId="14" showAll="0"/>
    <pivotField showAll="0"/>
    <pivotField showAll="0"/>
    <pivotField numFmtId="164" showAll="0"/>
    <pivotField showAll="0"/>
    <pivotField dataField="1" numFmtId="164" showAll="0"/>
    <pivotField numFmtId="164" showAll="0"/>
    <pivotField showAll="0"/>
    <pivotField axis="axisRow" showAll="0">
      <items count="5">
        <item x="3"/>
        <item x="2"/>
        <item x="0"/>
        <item x="1"/>
        <item t="default"/>
      </items>
    </pivotField>
    <pivotField showAll="0">
      <items count="13">
        <item x="0"/>
        <item x="1"/>
        <item x="2"/>
        <item x="3"/>
        <item x="4"/>
        <item x="5"/>
        <item x="6"/>
        <item x="7"/>
        <item x="8"/>
        <item x="9"/>
        <item x="10"/>
        <item x="11"/>
        <item t="default"/>
      </items>
    </pivotField>
    <pivotField showAll="0"/>
  </pivotFields>
  <rowFields count="1">
    <field x="9"/>
  </rowFields>
  <rowItems count="4">
    <i>
      <x/>
    </i>
    <i>
      <x v="1"/>
    </i>
    <i>
      <x v="2"/>
    </i>
    <i>
      <x v="3"/>
    </i>
  </rowItems>
  <colItems count="1">
    <i/>
  </colItems>
  <dataFields count="1">
    <dataField name="Sum of Sales" fld="6"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7A8C92F-7723-455B-9C16-C3121672B35C}" name="Monthly Sales By Region"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C2:G15" firstHeaderRow="1" firstDataRow="2" firstDataCol="1"/>
  <pivotFields count="12">
    <pivotField subtotalTop="0" showAll="0"/>
    <pivotField numFmtId="14" subtotalTop="0" showAll="0"/>
    <pivotField subtotalTop="0" showAll="0"/>
    <pivotField subtotalTop="0" showAll="0"/>
    <pivotField numFmtId="164" subtotalTop="0" showAll="0"/>
    <pivotField subtotalTop="0" showAll="0"/>
    <pivotField dataField="1" numFmtId="164" subtotalTop="0" showAll="0"/>
    <pivotField numFmtId="164" subtotalTop="0" showAll="0"/>
    <pivotField subtotalTop="0" showAll="0"/>
    <pivotField axis="axisCol" subtotalTop="0" showAll="0">
      <items count="5">
        <item x="3"/>
        <item x="2"/>
        <item x="0"/>
        <item x="1"/>
        <item t="default"/>
      </items>
    </pivotField>
    <pivotField axis="axisRow" subtotalTop="0" showAll="0">
      <items count="13">
        <item x="0"/>
        <item x="1"/>
        <item x="2"/>
        <item x="3"/>
        <item x="4"/>
        <item x="5"/>
        <item x="6"/>
        <item x="7"/>
        <item x="8"/>
        <item x="9"/>
        <item x="10"/>
        <item x="11"/>
        <item t="default"/>
      </items>
    </pivotField>
    <pivotField subtotalTop="0" showAll="0"/>
  </pivotFields>
  <rowFields count="1">
    <field x="10"/>
  </rowFields>
  <rowItems count="12">
    <i>
      <x/>
    </i>
    <i>
      <x v="1"/>
    </i>
    <i>
      <x v="2"/>
    </i>
    <i>
      <x v="3"/>
    </i>
    <i>
      <x v="4"/>
    </i>
    <i>
      <x v="5"/>
    </i>
    <i>
      <x v="6"/>
    </i>
    <i>
      <x v="7"/>
    </i>
    <i>
      <x v="8"/>
    </i>
    <i>
      <x v="9"/>
    </i>
    <i>
      <x v="10"/>
    </i>
    <i>
      <x v="11"/>
    </i>
  </rowItems>
  <colFields count="1">
    <field x="9"/>
  </colFields>
  <colItems count="4">
    <i>
      <x/>
    </i>
    <i>
      <x v="1"/>
    </i>
    <i>
      <x v="2"/>
    </i>
    <i>
      <x v="3"/>
    </i>
  </colItems>
  <dataFields count="1">
    <dataField name="Sum of Sales" fld="6"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A86AAFD-4783-4191-9744-1D71AAEFBC30}" name="Weekly Sales"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P3:Q42" firstHeaderRow="1" firstDataRow="1" firstDataCol="1"/>
  <pivotFields count="12">
    <pivotField showAll="0"/>
    <pivotField numFmtId="14" showAll="0"/>
    <pivotField showAll="0"/>
    <pivotField showAll="0"/>
    <pivotField numFmtId="164" showAll="0"/>
    <pivotField showAll="0"/>
    <pivotField dataField="1" numFmtId="164" showAll="0"/>
    <pivotField numFmtId="164" showAll="0"/>
    <pivotField showAll="0"/>
    <pivotField showAll="0"/>
    <pivotField showAll="0"/>
    <pivotField axis="axisRow" showAll="0">
      <items count="4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t="default"/>
      </items>
    </pivotField>
  </pivotFields>
  <rowFields count="1">
    <field x="11"/>
  </rowFields>
  <rowItems count="3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rowItems>
  <colItems count="1">
    <i/>
  </colItems>
  <dataFields count="1">
    <dataField name="Sum of Sales" fld="6"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EDFD343-5767-4CB0-AAFB-7ACC660933D5}" name="SalesAndProfit"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4" firstHeaderRow="0" firstDataRow="1" firstDataCol="0"/>
  <pivotFields count="12">
    <pivotField showAll="0"/>
    <pivotField numFmtId="14" showAll="0"/>
    <pivotField showAll="0"/>
    <pivotField showAll="0"/>
    <pivotField numFmtId="164" showAll="0"/>
    <pivotField showAll="0"/>
    <pivotField dataField="1" numFmtId="164" showAll="0"/>
    <pivotField dataField="1" numFmtId="164" showAll="0"/>
    <pivotField showAll="0"/>
    <pivotField showAll="0">
      <items count="5">
        <item x="3"/>
        <item x="2"/>
        <item x="0"/>
        <item x="1"/>
        <item t="default"/>
      </items>
    </pivotField>
    <pivotField showAll="0">
      <items count="13">
        <item x="0"/>
        <item x="1"/>
        <item x="2"/>
        <item x="3"/>
        <item x="4"/>
        <item x="5"/>
        <item x="6"/>
        <item x="7"/>
        <item x="8"/>
        <item x="9"/>
        <item x="10"/>
        <item x="11"/>
        <item t="default"/>
      </items>
    </pivotField>
    <pivotField showAll="0"/>
  </pivotFields>
  <rowItems count="1">
    <i/>
  </rowItems>
  <colFields count="1">
    <field x="-2"/>
  </colFields>
  <colItems count="2">
    <i>
      <x/>
    </i>
    <i i="1">
      <x v="1"/>
    </i>
  </colItems>
  <dataFields count="2">
    <dataField name="Sum of Sales" fld="6" baseField="0" baseItem="0" numFmtId="164"/>
    <dataField name="Sum of Total Profit" fld="7"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215B25D-67D1-47B4-8D16-D10DBFE25345}" name="PivotTable7"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T3:U22" firstHeaderRow="1" firstDataRow="1" firstDataCol="1"/>
  <pivotFields count="12">
    <pivotField showAll="0"/>
    <pivotField numFmtId="14" showAll="0"/>
    <pivotField showAll="0"/>
    <pivotField showAll="0"/>
    <pivotField numFmtId="164" showAll="0"/>
    <pivotField showAll="0"/>
    <pivotField dataField="1" numFmtId="164" showAll="0"/>
    <pivotField numFmtId="164" showAll="0"/>
    <pivotField axis="axisRow" showAll="0">
      <items count="20">
        <item x="3"/>
        <item x="17"/>
        <item x="2"/>
        <item x="14"/>
        <item x="7"/>
        <item x="15"/>
        <item x="4"/>
        <item x="5"/>
        <item x="9"/>
        <item x="11"/>
        <item x="6"/>
        <item x="0"/>
        <item x="13"/>
        <item x="12"/>
        <item x="18"/>
        <item x="16"/>
        <item x="1"/>
        <item x="10"/>
        <item x="8"/>
        <item t="default"/>
      </items>
    </pivotField>
    <pivotField showAll="0"/>
    <pivotField showAll="0"/>
    <pivotField showAll="0"/>
  </pivotFields>
  <rowFields count="1">
    <field x="8"/>
  </rowFields>
  <rowItems count="19">
    <i>
      <x/>
    </i>
    <i>
      <x v="1"/>
    </i>
    <i>
      <x v="2"/>
    </i>
    <i>
      <x v="3"/>
    </i>
    <i>
      <x v="4"/>
    </i>
    <i>
      <x v="5"/>
    </i>
    <i>
      <x v="6"/>
    </i>
    <i>
      <x v="7"/>
    </i>
    <i>
      <x v="8"/>
    </i>
    <i>
      <x v="9"/>
    </i>
    <i>
      <x v="10"/>
    </i>
    <i>
      <x v="11"/>
    </i>
    <i>
      <x v="12"/>
    </i>
    <i>
      <x v="13"/>
    </i>
    <i>
      <x v="14"/>
    </i>
    <i>
      <x v="15"/>
    </i>
    <i>
      <x v="16"/>
    </i>
    <i>
      <x v="17"/>
    </i>
    <i>
      <x v="18"/>
    </i>
  </rowItems>
  <colItems count="1">
    <i/>
  </colItems>
  <dataFields count="1">
    <dataField name="Sum of Sales" fld="6"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12DC90A-9EF8-40CF-BACC-BBA2BA0C65AC}" name="Top 5 Cutomers"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J3:K8" firstHeaderRow="1" firstDataRow="1" firstDataCol="1"/>
  <pivotFields count="12">
    <pivotField showAll="0"/>
    <pivotField numFmtId="14" showAll="0"/>
    <pivotField axis="axisRow" showAll="0" measureFilter="1" sortType="descending">
      <items count="19">
        <item x="0"/>
        <item x="14"/>
        <item x="5"/>
        <item x="13"/>
        <item x="9"/>
        <item x="17"/>
        <item x="4"/>
        <item x="6"/>
        <item x="15"/>
        <item x="7"/>
        <item x="12"/>
        <item x="2"/>
        <item x="1"/>
        <item x="8"/>
        <item x="11"/>
        <item x="3"/>
        <item x="16"/>
        <item x="10"/>
        <item t="default"/>
      </items>
      <autoSortScope>
        <pivotArea dataOnly="0" outline="0" fieldPosition="0">
          <references count="1">
            <reference field="4294967294" count="1" selected="0">
              <x v="0"/>
            </reference>
          </references>
        </pivotArea>
      </autoSortScope>
    </pivotField>
    <pivotField showAll="0"/>
    <pivotField numFmtId="164" showAll="0"/>
    <pivotField showAll="0"/>
    <pivotField dataField="1" numFmtId="164" showAll="0"/>
    <pivotField numFmtId="164" showAll="0"/>
    <pivotField showAll="0"/>
    <pivotField showAll="0">
      <items count="5">
        <item x="3"/>
        <item x="2"/>
        <item x="0"/>
        <item x="1"/>
        <item t="default"/>
      </items>
    </pivotField>
    <pivotField showAll="0">
      <items count="13">
        <item x="0"/>
        <item x="1"/>
        <item x="2"/>
        <item x="3"/>
        <item x="4"/>
        <item x="5"/>
        <item x="6"/>
        <item x="7"/>
        <item x="8"/>
        <item x="9"/>
        <item x="10"/>
        <item x="11"/>
        <item t="default"/>
      </items>
    </pivotField>
    <pivotField showAll="0"/>
  </pivotFields>
  <rowFields count="1">
    <field x="2"/>
  </rowFields>
  <rowItems count="5">
    <i>
      <x v="12"/>
    </i>
    <i>
      <x v="11"/>
    </i>
    <i>
      <x/>
    </i>
    <i>
      <x v="15"/>
    </i>
    <i>
      <x v="2"/>
    </i>
  </rowItems>
  <colItems count="1">
    <i/>
  </colItems>
  <dataFields count="1">
    <dataField name="Sum of Sales" fld="6" baseField="0" baseItem="0" numFmtId="164"/>
  </dataFields>
  <pivotTableStyleInfo name="PivotStyleLight16" showRowHeaders="1" showColHeaders="1" showRowStripes="0" showColStripes="0" showLastColumn="1"/>
  <filters count="1">
    <filter fld="2"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E57C401D-94C3-4CDF-801F-AF3D9711556F}" sourceName="Region">
  <pivotTables>
    <pivotTable tabId="7" name="Monthly Sales By Region"/>
    <pivotTable tabId="7" name="SalesAndProfit"/>
    <pivotTable tabId="7" name="SalesBY Region"/>
    <pivotTable tabId="7" name="Top 10 Products"/>
    <pivotTable tabId="7" name="Top 5 Cutomers"/>
  </pivotTables>
  <data>
    <tabular pivotCacheId="146755962">
      <items count="4">
        <i x="3" s="1"/>
        <i x="2" s="1"/>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2DA7E32C-8773-4558-BE3B-B2E46C19A971}" sourceName="Month">
  <pivotTables>
    <pivotTable tabId="7" name="Monthly Sales By Region"/>
    <pivotTable tabId="7" name="SalesAndProfit"/>
    <pivotTable tabId="7" name="SalesBY Region"/>
    <pivotTable tabId="7" name="Top 10 Products"/>
    <pivotTable tabId="7" name="Top 5 Cutomers"/>
  </pivotTables>
  <data>
    <tabular pivotCacheId="146755962">
      <items count="12">
        <i x="0" s="1"/>
        <i x="1" s="1"/>
        <i x="2" s="1"/>
        <i x="3" s="1"/>
        <i x="4" s="1"/>
        <i x="5" s="1"/>
        <i x="6" s="1"/>
        <i x="7" s="1"/>
        <i x="8" s="1"/>
        <i x="9" s="1"/>
        <i x="10" s="1"/>
        <i x="1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26BEEAE5-A726-40AC-BF01-57EEE5B08ADB}" cache="Slicer_Region" caption="Region" rowHeight="241300"/>
  <slicer name="Month" xr10:uid="{BDF4667C-BFF5-42C9-B6AC-C819812AF088}" cache="Slicer_Month" caption="Month"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279D396-F56A-43DB-BB3F-40D1A18F1328}" name="Table2" displayName="Table2" ref="A8:B10" totalsRowShown="0">
  <autoFilter ref="A8:B10" xr:uid="{C279D396-F56A-43DB-BB3F-40D1A18F1328}"/>
  <tableColumns count="2">
    <tableColumn id="1" xr3:uid="{A2AB47BA-9650-401E-AB3F-F92573363F5F}" name="Column1"/>
    <tableColumn id="2" xr3:uid="{B0E98D88-BF59-4285-A9B0-4D66F01D7E08}" name="Column2">
      <calculatedColumnFormula>B8/A8</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3255FD7-3412-4D13-857A-1766DFB0E4EE}" name="Table3" displayName="Table3" ref="J10:K15" totalsRowShown="0">
  <autoFilter ref="J10:K15" xr:uid="{B3255FD7-3412-4D13-857A-1766DFB0E4EE}"/>
  <tableColumns count="2">
    <tableColumn id="1" xr3:uid="{9DD1F2BD-D274-4B08-9279-F2CE77A1ADBB}" name="Row Labels">
      <calculatedColumnFormula>J4</calculatedColumnFormula>
    </tableColumn>
    <tableColumn id="2" xr3:uid="{61F3E65C-AC3A-468B-9935-686350175504}" name="Sum of Sales" dataDxfId="5">
      <calculatedColumnFormula>K4</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23570C1-EC60-4A1F-BCD2-9231A152FCD8}" name="Table4" displayName="Table4" ref="L10:M14" totalsRowShown="0">
  <autoFilter ref="L10:M14" xr:uid="{723570C1-EC60-4A1F-BCD2-9231A152FCD8}"/>
  <tableColumns count="2">
    <tableColumn id="1" xr3:uid="{822B4183-F75F-426F-BE05-00AEFCFCB83E}" name="Column1">
      <calculatedColumnFormula>L4</calculatedColumnFormula>
    </tableColumn>
    <tableColumn id="2" xr3:uid="{2275DF10-4B1E-453A-966E-3116A01C3ED1}" name="Column2" dataDxfId="4">
      <calculatedColumnFormula>M4</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60350ED-715C-4305-8A8F-B892AADF6F20}" name="Table5" displayName="Table5" ref="R3:S42" totalsRowShown="0">
  <autoFilter ref="R3:S42" xr:uid="{460350ED-715C-4305-8A8F-B892AADF6F20}"/>
  <tableColumns count="2">
    <tableColumn id="1" xr3:uid="{B2787960-B711-499A-9E64-99B260CA3869}" name="Row Labels">
      <calculatedColumnFormula>P4</calculatedColumnFormula>
    </tableColumn>
    <tableColumn id="2" xr3:uid="{0D36B64B-9B52-40EC-B120-4F7C288F9032}" name="Sum of Sales" dataDxfId="3">
      <calculatedColumnFormula>Q4</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458CAC8-F9FD-4744-8B0F-065B94CC34D6}" name="Table6" displayName="Table6" ref="V3:W22" totalsRowShown="0">
  <autoFilter ref="V3:W22" xr:uid="{9458CAC8-F9FD-4744-8B0F-065B94CC34D6}"/>
  <tableColumns count="2">
    <tableColumn id="1" xr3:uid="{691D4969-5709-463D-833F-890591E69CCD}" name="Row Labels">
      <calculatedColumnFormula>T4</calculatedColumnFormula>
    </tableColumn>
    <tableColumn id="2" xr3:uid="{A4ACAD00-2A16-406E-B53D-4D041183959F}" name="Sum of Sales" dataDxfId="2">
      <calculatedColumnFormula>U4</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792E349-D73C-463F-A09A-3C86B8261BEA}" name="Table7" displayName="Table7" ref="H25:I36" totalsRowShown="0">
  <autoFilter ref="H25:I36" xr:uid="{F792E349-D73C-463F-A09A-3C86B8261BEA}"/>
  <tableColumns count="2">
    <tableColumn id="1" xr3:uid="{1145E1CD-B95D-4927-9806-AFC6A12C60D5}" name="Column1" dataDxfId="1">
      <calculatedColumnFormula>H4</calculatedColumnFormula>
    </tableColumn>
    <tableColumn id="2" xr3:uid="{50F2EAA1-6F17-4E0E-B370-935F9364C583}" name="Column2" dataDxfId="0">
      <calculatedColumnFormula>I4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bin"/><Relationship Id="rId13" Type="http://schemas.openxmlformats.org/officeDocument/2006/relationships/table" Target="../tables/table5.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table" Target="../tables/table4.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table" Target="../tables/table3.xml"/><Relationship Id="rId5" Type="http://schemas.openxmlformats.org/officeDocument/2006/relationships/pivotTable" Target="../pivotTables/pivotTable5.xml"/><Relationship Id="rId10" Type="http://schemas.openxmlformats.org/officeDocument/2006/relationships/table" Target="../tables/table2.xml"/><Relationship Id="rId4" Type="http://schemas.openxmlformats.org/officeDocument/2006/relationships/pivotTable" Target="../pivotTables/pivotTable4.xml"/><Relationship Id="rId9" Type="http://schemas.openxmlformats.org/officeDocument/2006/relationships/table" Target="../tables/table1.xml"/><Relationship Id="rId14"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A92290-9ECF-47FF-B4C6-23982F982ACE}">
  <sheetPr>
    <tabColor rgb="FF00B0F0"/>
    <pageSetUpPr fitToPage="1"/>
  </sheetPr>
  <dimension ref="A1"/>
  <sheetViews>
    <sheetView showGridLines="0" tabSelected="1" zoomScaleNormal="100" workbookViewId="0">
      <selection sqref="A1:XFD1"/>
    </sheetView>
  </sheetViews>
  <sheetFormatPr defaultRowHeight="15" x14ac:dyDescent="0.25"/>
  <cols>
    <col min="1" max="16384" width="9.140625" style="12"/>
  </cols>
  <sheetData/>
  <pageMargins left="0.7" right="0.7" top="0.75" bottom="0.75" header="0.3" footer="0.3"/>
  <pageSetup paperSize="9" scale="79"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8203A-C450-4B49-991A-2AC44DBB6D0B}">
  <sheetPr>
    <tabColor rgb="FFFFC000"/>
  </sheetPr>
  <dimension ref="A2:W42"/>
  <sheetViews>
    <sheetView zoomScale="115" zoomScaleNormal="115" workbookViewId="0">
      <selection activeCell="B3" sqref="B3"/>
    </sheetView>
  </sheetViews>
  <sheetFormatPr defaultRowHeight="15" x14ac:dyDescent="0.25"/>
  <cols>
    <col min="1" max="1" width="12.140625" bestFit="1" customWidth="1"/>
    <col min="2" max="2" width="17.7109375" bestFit="1" customWidth="1"/>
    <col min="3" max="3" width="13.140625" bestFit="1" customWidth="1"/>
    <col min="4" max="4" width="16.28515625" bestFit="1" customWidth="1"/>
    <col min="5" max="5" width="9.5703125" bestFit="1" customWidth="1"/>
    <col min="6" max="6" width="11.42578125" bestFit="1" customWidth="1"/>
    <col min="7" max="7" width="11.7109375" bestFit="1" customWidth="1"/>
    <col min="8" max="8" width="18.28515625" bestFit="1" customWidth="1"/>
    <col min="9" max="9" width="12.140625" bestFit="1" customWidth="1"/>
    <col min="10" max="10" width="13.85546875" bestFit="1" customWidth="1"/>
    <col min="11" max="11" width="12.140625" bestFit="1" customWidth="1"/>
    <col min="12" max="12" width="13.28515625" bestFit="1" customWidth="1"/>
    <col min="13" max="13" width="12.140625" bestFit="1" customWidth="1"/>
    <col min="16" max="16" width="13.140625" bestFit="1" customWidth="1"/>
    <col min="17" max="17" width="12.140625" bestFit="1" customWidth="1"/>
    <col min="18" max="18" width="12.7109375" customWidth="1"/>
    <col min="19" max="19" width="13.85546875" customWidth="1"/>
    <col min="20" max="20" width="15" bestFit="1" customWidth="1"/>
    <col min="21" max="21" width="12.140625" bestFit="1" customWidth="1"/>
    <col min="22" max="22" width="12.7109375" customWidth="1"/>
    <col min="23" max="23" width="13.85546875" customWidth="1"/>
  </cols>
  <sheetData>
    <row r="2" spans="1:23" x14ac:dyDescent="0.25">
      <c r="C2" s="16" t="s">
        <v>85</v>
      </c>
      <c r="D2" s="16" t="s">
        <v>87</v>
      </c>
    </row>
    <row r="3" spans="1:23" x14ac:dyDescent="0.25">
      <c r="A3" t="s">
        <v>85</v>
      </c>
      <c r="B3" t="s">
        <v>86</v>
      </c>
      <c r="C3" s="16" t="s">
        <v>88</v>
      </c>
      <c r="D3" t="s">
        <v>81</v>
      </c>
      <c r="E3" t="s">
        <v>22</v>
      </c>
      <c r="F3" t="s">
        <v>9</v>
      </c>
      <c r="G3" t="s">
        <v>17</v>
      </c>
      <c r="J3" s="16" t="s">
        <v>88</v>
      </c>
      <c r="K3" t="s">
        <v>85</v>
      </c>
      <c r="L3" s="16" t="s">
        <v>88</v>
      </c>
      <c r="M3" t="s">
        <v>85</v>
      </c>
      <c r="P3" s="16" t="s">
        <v>88</v>
      </c>
      <c r="Q3" t="s">
        <v>85</v>
      </c>
      <c r="R3" t="s">
        <v>88</v>
      </c>
      <c r="S3" t="s">
        <v>85</v>
      </c>
      <c r="T3" s="16" t="s">
        <v>88</v>
      </c>
      <c r="U3" t="s">
        <v>85</v>
      </c>
      <c r="V3" t="s">
        <v>88</v>
      </c>
      <c r="W3" t="s">
        <v>85</v>
      </c>
    </row>
    <row r="4" spans="1:23" x14ac:dyDescent="0.25">
      <c r="A4" s="13">
        <v>1405406.5099999993</v>
      </c>
      <c r="B4" s="13">
        <v>298120.95999999985</v>
      </c>
      <c r="C4" s="8" t="s">
        <v>10</v>
      </c>
      <c r="D4" s="13"/>
      <c r="E4" s="13">
        <v>6316.05</v>
      </c>
      <c r="F4" s="13">
        <v>8104.52</v>
      </c>
      <c r="G4" s="13">
        <v>26257.02</v>
      </c>
      <c r="H4" s="16" t="s">
        <v>88</v>
      </c>
      <c r="I4" t="s">
        <v>85</v>
      </c>
      <c r="J4" s="8" t="s">
        <v>11</v>
      </c>
      <c r="K4" s="13">
        <v>328292.24000000005</v>
      </c>
      <c r="L4" s="8" t="s">
        <v>81</v>
      </c>
      <c r="M4" s="13">
        <v>93475.81</v>
      </c>
      <c r="P4" s="8">
        <v>1</v>
      </c>
      <c r="Q4" s="13">
        <v>8104.52</v>
      </c>
      <c r="R4">
        <f t="shared" ref="R4:R42" si="0">P4</f>
        <v>1</v>
      </c>
      <c r="S4" s="13">
        <f t="shared" ref="S4:S42" si="1">Q4</f>
        <v>8104.52</v>
      </c>
      <c r="T4" s="8" t="s">
        <v>18</v>
      </c>
      <c r="U4" s="13">
        <v>429293.02000000008</v>
      </c>
      <c r="V4" t="str">
        <f t="shared" ref="V4:V22" si="2">T4</f>
        <v>Algeria</v>
      </c>
      <c r="W4" s="13">
        <f t="shared" ref="W4:W22" si="3">U4</f>
        <v>429293.02000000008</v>
      </c>
    </row>
    <row r="5" spans="1:23" x14ac:dyDescent="0.25">
      <c r="C5" s="8" t="s">
        <v>29</v>
      </c>
      <c r="D5" s="13"/>
      <c r="E5" s="13">
        <v>1449</v>
      </c>
      <c r="F5" s="13">
        <v>14298.599999999999</v>
      </c>
      <c r="G5" s="13">
        <v>5341.95</v>
      </c>
      <c r="H5" s="8" t="s">
        <v>68</v>
      </c>
      <c r="I5" s="13">
        <v>133188.24999999997</v>
      </c>
      <c r="J5" s="8" t="s">
        <v>14</v>
      </c>
      <c r="K5" s="13">
        <v>292293.18999999994</v>
      </c>
      <c r="L5" s="8" t="s">
        <v>22</v>
      </c>
      <c r="M5" s="13">
        <v>215999.92999999996</v>
      </c>
      <c r="P5" s="8">
        <v>2</v>
      </c>
      <c r="Q5" s="13">
        <v>32573.07</v>
      </c>
      <c r="R5">
        <f t="shared" si="0"/>
        <v>2</v>
      </c>
      <c r="S5" s="13">
        <f t="shared" si="1"/>
        <v>32573.07</v>
      </c>
      <c r="T5" s="8" t="s">
        <v>74</v>
      </c>
      <c r="U5" s="13">
        <v>57197.34</v>
      </c>
      <c r="V5" t="str">
        <f t="shared" si="2"/>
        <v>Bahrain</v>
      </c>
      <c r="W5" s="13">
        <f t="shared" si="3"/>
        <v>57197.34</v>
      </c>
    </row>
    <row r="6" spans="1:23" x14ac:dyDescent="0.25">
      <c r="C6" s="8" t="s">
        <v>32</v>
      </c>
      <c r="D6" s="13"/>
      <c r="E6" s="13"/>
      <c r="F6" s="13">
        <v>2364.8000000000002</v>
      </c>
      <c r="G6" s="13">
        <v>73428.06</v>
      </c>
      <c r="H6" s="8" t="s">
        <v>26</v>
      </c>
      <c r="I6" s="13">
        <v>114197.98999999999</v>
      </c>
      <c r="J6" s="8" t="s">
        <v>7</v>
      </c>
      <c r="K6" s="13">
        <v>269315.36000000004</v>
      </c>
      <c r="L6" s="8" t="s">
        <v>9</v>
      </c>
      <c r="M6" s="13">
        <v>364966.80000000005</v>
      </c>
      <c r="P6" s="8">
        <v>5</v>
      </c>
      <c r="Q6" s="13">
        <v>5341.95</v>
      </c>
      <c r="R6">
        <f t="shared" si="0"/>
        <v>5</v>
      </c>
      <c r="S6" s="13">
        <f t="shared" si="1"/>
        <v>5341.95</v>
      </c>
      <c r="T6" s="8" t="s">
        <v>16</v>
      </c>
      <c r="U6" s="13">
        <v>192590.87999999998</v>
      </c>
      <c r="V6" t="str">
        <f t="shared" si="2"/>
        <v>Egypt</v>
      </c>
      <c r="W6" s="13">
        <f t="shared" si="3"/>
        <v>192590.87999999998</v>
      </c>
    </row>
    <row r="7" spans="1:23" x14ac:dyDescent="0.25">
      <c r="A7" s="15"/>
      <c r="B7" s="15"/>
      <c r="C7" s="8" t="s">
        <v>33</v>
      </c>
      <c r="D7" s="13"/>
      <c r="E7" s="13">
        <v>107187.77</v>
      </c>
      <c r="F7" s="13">
        <v>41115.82</v>
      </c>
      <c r="G7" s="13">
        <v>32971.32</v>
      </c>
      <c r="H7" s="8" t="s">
        <v>28</v>
      </c>
      <c r="I7" s="13">
        <v>109271.89</v>
      </c>
      <c r="J7" s="8" t="s">
        <v>19</v>
      </c>
      <c r="K7" s="13">
        <v>196106.3</v>
      </c>
      <c r="L7" s="8" t="s">
        <v>17</v>
      </c>
      <c r="M7" s="13">
        <v>730963.9700000002</v>
      </c>
      <c r="P7" s="8">
        <v>6</v>
      </c>
      <c r="Q7" s="13">
        <v>10889.25</v>
      </c>
      <c r="R7">
        <f t="shared" si="0"/>
        <v>6</v>
      </c>
      <c r="S7" s="13">
        <f t="shared" si="1"/>
        <v>10889.25</v>
      </c>
      <c r="T7" s="8" t="s">
        <v>75</v>
      </c>
      <c r="U7" s="13">
        <v>51705.760000000002</v>
      </c>
      <c r="V7" t="str">
        <f t="shared" si="2"/>
        <v>Iraq</v>
      </c>
      <c r="W7" s="13">
        <f t="shared" si="3"/>
        <v>51705.760000000002</v>
      </c>
    </row>
    <row r="8" spans="1:23" x14ac:dyDescent="0.25">
      <c r="A8" t="s">
        <v>89</v>
      </c>
      <c r="B8" t="s">
        <v>90</v>
      </c>
      <c r="C8" s="8" t="s">
        <v>35</v>
      </c>
      <c r="D8" s="13"/>
      <c r="E8" s="13">
        <v>57018.810000000005</v>
      </c>
      <c r="F8" s="13">
        <v>44386.62</v>
      </c>
      <c r="G8" s="13">
        <v>18612.02</v>
      </c>
      <c r="H8" s="8" t="s">
        <v>27</v>
      </c>
      <c r="I8" s="13">
        <v>102458.74999999999</v>
      </c>
      <c r="J8" s="8" t="s">
        <v>42</v>
      </c>
      <c r="K8" s="13">
        <v>92095.82</v>
      </c>
      <c r="P8" s="8">
        <v>7</v>
      </c>
      <c r="Q8" s="13">
        <v>4858.3499999999995</v>
      </c>
      <c r="R8">
        <f t="shared" si="0"/>
        <v>7</v>
      </c>
      <c r="S8" s="13">
        <f t="shared" si="1"/>
        <v>4858.3499999999995</v>
      </c>
      <c r="T8" s="8" t="s">
        <v>24</v>
      </c>
      <c r="U8" s="13">
        <v>131493.99000000002</v>
      </c>
      <c r="V8" t="str">
        <f t="shared" si="2"/>
        <v>Jordan</v>
      </c>
      <c r="W8" s="13">
        <f t="shared" si="3"/>
        <v>131493.99000000002</v>
      </c>
    </row>
    <row r="9" spans="1:23" x14ac:dyDescent="0.25">
      <c r="A9" s="13">
        <f>A4</f>
        <v>1405406.5099999993</v>
      </c>
      <c r="B9" s="13">
        <f>B4</f>
        <v>298120.95999999985</v>
      </c>
      <c r="C9" s="8" t="s">
        <v>41</v>
      </c>
      <c r="D9" s="13"/>
      <c r="E9" s="13">
        <v>44028.3</v>
      </c>
      <c r="F9" s="13">
        <v>56329.919999999998</v>
      </c>
      <c r="G9" s="13">
        <v>60180.880000000005</v>
      </c>
      <c r="H9" s="8" t="s">
        <v>67</v>
      </c>
      <c r="I9" s="13">
        <v>98651.650000000009</v>
      </c>
      <c r="P9" s="8">
        <v>9</v>
      </c>
      <c r="Q9" s="13">
        <v>2364.8000000000002</v>
      </c>
      <c r="R9">
        <f t="shared" si="0"/>
        <v>9</v>
      </c>
      <c r="S9" s="13">
        <f t="shared" si="1"/>
        <v>2364.8000000000002</v>
      </c>
      <c r="T9" s="8" t="s">
        <v>76</v>
      </c>
      <c r="U9" s="13">
        <v>36943.75</v>
      </c>
      <c r="V9" t="str">
        <f t="shared" si="2"/>
        <v>Kuwait</v>
      </c>
      <c r="W9" s="13">
        <f t="shared" si="3"/>
        <v>36943.75</v>
      </c>
    </row>
    <row r="10" spans="1:23" x14ac:dyDescent="0.25">
      <c r="B10" s="14">
        <f>B9/A9</f>
        <v>0.21212436250917893</v>
      </c>
      <c r="C10" s="8" t="s">
        <v>51</v>
      </c>
      <c r="D10" s="13">
        <v>31943.269999999997</v>
      </c>
      <c r="E10" s="13"/>
      <c r="F10" s="13">
        <v>32470.95</v>
      </c>
      <c r="G10" s="13">
        <v>124456.98999999999</v>
      </c>
      <c r="H10" s="8" t="s">
        <v>63</v>
      </c>
      <c r="I10" s="13">
        <v>93719.87999999999</v>
      </c>
      <c r="J10" t="s">
        <v>88</v>
      </c>
      <c r="K10" t="s">
        <v>85</v>
      </c>
      <c r="L10" t="s">
        <v>89</v>
      </c>
      <c r="M10" s="13" t="s">
        <v>90</v>
      </c>
      <c r="P10" s="8">
        <v>10</v>
      </c>
      <c r="Q10" s="13">
        <v>73428.06</v>
      </c>
      <c r="R10">
        <f t="shared" si="0"/>
        <v>10</v>
      </c>
      <c r="S10" s="13">
        <f t="shared" si="1"/>
        <v>73428.06</v>
      </c>
      <c r="T10" s="8" t="s">
        <v>21</v>
      </c>
      <c r="U10" s="13">
        <v>83056.94</v>
      </c>
      <c r="V10" t="str">
        <f t="shared" si="2"/>
        <v>Lebanon</v>
      </c>
      <c r="W10" s="13">
        <f t="shared" si="3"/>
        <v>83056.94</v>
      </c>
    </row>
    <row r="11" spans="1:23" x14ac:dyDescent="0.25">
      <c r="C11" s="8" t="s">
        <v>53</v>
      </c>
      <c r="D11" s="13"/>
      <c r="E11" s="13"/>
      <c r="F11" s="13">
        <v>46550</v>
      </c>
      <c r="G11" s="13">
        <v>67998.080000000002</v>
      </c>
      <c r="H11" s="8" t="s">
        <v>15</v>
      </c>
      <c r="I11" s="13">
        <v>90446.549999999988</v>
      </c>
      <c r="J11" t="str">
        <f>J4</f>
        <v>StarMall</v>
      </c>
      <c r="K11" s="13">
        <f>K4</f>
        <v>328292.24000000005</v>
      </c>
      <c r="L11" t="str">
        <f>L4</f>
        <v>Horn of Africa</v>
      </c>
      <c r="M11" s="13">
        <f>M4</f>
        <v>93475.81</v>
      </c>
      <c r="P11" s="8">
        <v>14</v>
      </c>
      <c r="Q11" s="13">
        <v>48524.369999999995</v>
      </c>
      <c r="R11">
        <f t="shared" si="0"/>
        <v>14</v>
      </c>
      <c r="S11" s="13">
        <f t="shared" si="1"/>
        <v>48524.369999999995</v>
      </c>
      <c r="T11" s="8" t="s">
        <v>54</v>
      </c>
      <c r="U11" s="13">
        <v>7776.62</v>
      </c>
      <c r="V11" t="str">
        <f t="shared" si="2"/>
        <v>Libya</v>
      </c>
      <c r="W11" s="13">
        <f t="shared" si="3"/>
        <v>7776.62</v>
      </c>
    </row>
    <row r="12" spans="1:23" x14ac:dyDescent="0.25">
      <c r="C12" s="8" t="s">
        <v>70</v>
      </c>
      <c r="D12" s="13">
        <v>61532.54</v>
      </c>
      <c r="E12" s="13"/>
      <c r="F12" s="13">
        <v>24293.119999999999</v>
      </c>
      <c r="G12" s="13">
        <v>82889.399999999994</v>
      </c>
      <c r="H12" s="8" t="s">
        <v>62</v>
      </c>
      <c r="I12" s="13">
        <v>82443.009999999995</v>
      </c>
      <c r="J12" t="str">
        <f t="shared" ref="J12:K15" si="4">J5</f>
        <v>Shopper's Hub</v>
      </c>
      <c r="K12" s="13">
        <f t="shared" si="4"/>
        <v>292293.18999999994</v>
      </c>
      <c r="L12" t="str">
        <f t="shared" ref="L12:M14" si="5">L5</f>
        <v>Levant</v>
      </c>
      <c r="M12" s="13">
        <f t="shared" si="5"/>
        <v>215999.92999999996</v>
      </c>
      <c r="P12" s="8">
        <v>15</v>
      </c>
      <c r="Q12" s="13">
        <v>27503.5</v>
      </c>
      <c r="R12">
        <f t="shared" si="0"/>
        <v>15</v>
      </c>
      <c r="S12" s="13">
        <f t="shared" si="1"/>
        <v>27503.5</v>
      </c>
      <c r="T12" s="8" t="s">
        <v>77</v>
      </c>
      <c r="U12" s="13">
        <v>27326.420000000002</v>
      </c>
      <c r="V12" t="str">
        <f t="shared" si="2"/>
        <v>Oman</v>
      </c>
      <c r="W12" s="13">
        <f t="shared" si="3"/>
        <v>27326.420000000002</v>
      </c>
    </row>
    <row r="13" spans="1:23" x14ac:dyDescent="0.25">
      <c r="C13" s="8" t="s">
        <v>71</v>
      </c>
      <c r="D13" s="13"/>
      <c r="E13" s="13"/>
      <c r="F13" s="13">
        <v>34104.870000000003</v>
      </c>
      <c r="G13" s="13">
        <v>63916.92</v>
      </c>
      <c r="H13" s="8" t="s">
        <v>65</v>
      </c>
      <c r="I13" s="13">
        <v>77913</v>
      </c>
      <c r="J13" t="str">
        <f t="shared" si="4"/>
        <v>AliTech</v>
      </c>
      <c r="K13" s="13">
        <f t="shared" si="4"/>
        <v>269315.36000000004</v>
      </c>
      <c r="L13" t="str">
        <f t="shared" si="5"/>
        <v>Middle East</v>
      </c>
      <c r="M13" s="13">
        <f t="shared" si="5"/>
        <v>364966.80000000005</v>
      </c>
      <c r="P13" s="8">
        <v>16</v>
      </c>
      <c r="Q13" s="13">
        <v>63035.6</v>
      </c>
      <c r="R13">
        <f t="shared" si="0"/>
        <v>16</v>
      </c>
      <c r="S13" s="13">
        <f t="shared" si="1"/>
        <v>63035.6</v>
      </c>
      <c r="T13" s="8" t="s">
        <v>78</v>
      </c>
      <c r="U13" s="13">
        <v>48275.06</v>
      </c>
      <c r="V13" t="str">
        <f t="shared" si="2"/>
        <v>Palestine</v>
      </c>
      <c r="W13" s="13">
        <f t="shared" si="3"/>
        <v>48275.06</v>
      </c>
    </row>
    <row r="14" spans="1:23" x14ac:dyDescent="0.25">
      <c r="C14" s="8" t="s">
        <v>72</v>
      </c>
      <c r="D14" s="13"/>
      <c r="E14" s="13"/>
      <c r="F14" s="13">
        <v>60036.22</v>
      </c>
      <c r="G14" s="13">
        <v>138395.66</v>
      </c>
      <c r="H14" s="8" t="s">
        <v>12</v>
      </c>
      <c r="I14" s="13">
        <v>76293</v>
      </c>
      <c r="J14" t="str">
        <f t="shared" si="4"/>
        <v>TechMart</v>
      </c>
      <c r="K14" s="13">
        <f t="shared" si="4"/>
        <v>196106.3</v>
      </c>
      <c r="L14" t="str">
        <f t="shared" si="5"/>
        <v>North Africa</v>
      </c>
      <c r="M14" s="13">
        <f t="shared" si="5"/>
        <v>730963.9700000002</v>
      </c>
      <c r="P14" s="8">
        <v>17</v>
      </c>
      <c r="Q14" s="13">
        <v>42211.44</v>
      </c>
      <c r="R14">
        <f t="shared" si="0"/>
        <v>17</v>
      </c>
      <c r="S14" s="13">
        <f t="shared" si="1"/>
        <v>42211.44</v>
      </c>
      <c r="T14" s="8" t="s">
        <v>25</v>
      </c>
      <c r="U14" s="13">
        <v>9440.25</v>
      </c>
      <c r="V14" t="str">
        <f t="shared" si="2"/>
        <v>Qatar</v>
      </c>
      <c r="W14" s="13">
        <f t="shared" si="3"/>
        <v>9440.25</v>
      </c>
    </row>
    <row r="15" spans="1:23" x14ac:dyDescent="0.25">
      <c r="C15" s="8" t="s">
        <v>73</v>
      </c>
      <c r="D15" s="13"/>
      <c r="E15" s="13"/>
      <c r="F15" s="13">
        <v>911.36</v>
      </c>
      <c r="G15" s="13">
        <v>36515.67</v>
      </c>
      <c r="H15" s="8" t="s">
        <v>69</v>
      </c>
      <c r="I15" s="13">
        <v>74310.06</v>
      </c>
      <c r="J15" t="str">
        <f t="shared" si="4"/>
        <v>CityEssentials</v>
      </c>
      <c r="K15" s="13">
        <f t="shared" si="4"/>
        <v>92095.82</v>
      </c>
      <c r="P15" s="8">
        <v>19</v>
      </c>
      <c r="Q15" s="13">
        <v>42854.05</v>
      </c>
      <c r="R15">
        <f t="shared" si="0"/>
        <v>19</v>
      </c>
      <c r="S15" s="13">
        <f t="shared" si="1"/>
        <v>42854.05</v>
      </c>
      <c r="T15" s="8" t="s">
        <v>8</v>
      </c>
      <c r="U15" s="13">
        <v>35463.389999999992</v>
      </c>
      <c r="V15" t="str">
        <f t="shared" si="2"/>
        <v>Saudi Arabia</v>
      </c>
      <c r="W15" s="13">
        <f t="shared" si="3"/>
        <v>35463.389999999992</v>
      </c>
    </row>
    <row r="16" spans="1:23" x14ac:dyDescent="0.25">
      <c r="H16" s="8" t="s">
        <v>52</v>
      </c>
      <c r="I16" s="13">
        <v>67928.999999999985</v>
      </c>
      <c r="P16" s="8">
        <v>20</v>
      </c>
      <c r="Q16" s="13">
        <v>48980.51</v>
      </c>
      <c r="R16">
        <f t="shared" si="0"/>
        <v>20</v>
      </c>
      <c r="S16" s="13">
        <f t="shared" si="1"/>
        <v>48980.51</v>
      </c>
      <c r="T16" s="8" t="s">
        <v>83</v>
      </c>
      <c r="U16" s="13">
        <v>26699.61</v>
      </c>
      <c r="V16" t="str">
        <f t="shared" si="2"/>
        <v>South Sudan</v>
      </c>
      <c r="W16" s="13">
        <f t="shared" si="3"/>
        <v>26699.61</v>
      </c>
    </row>
    <row r="17" spans="3:23" x14ac:dyDescent="0.25">
      <c r="C17" t="str">
        <f>C3</f>
        <v>Row Labels</v>
      </c>
      <c r="D17" t="str">
        <f t="shared" ref="D17:G17" si="6">D3</f>
        <v>Horn of Africa</v>
      </c>
      <c r="E17" t="str">
        <f t="shared" si="6"/>
        <v>Levant</v>
      </c>
      <c r="F17" t="str">
        <f t="shared" si="6"/>
        <v>Middle East</v>
      </c>
      <c r="G17" t="str">
        <f t="shared" si="6"/>
        <v>North Africa</v>
      </c>
      <c r="H17" s="8" t="s">
        <v>60</v>
      </c>
      <c r="I17" s="13">
        <v>65996.799999999988</v>
      </c>
      <c r="P17" s="8">
        <v>21</v>
      </c>
      <c r="Q17" s="13">
        <v>12459.98</v>
      </c>
      <c r="R17">
        <f t="shared" si="0"/>
        <v>21</v>
      </c>
      <c r="S17" s="13">
        <f t="shared" si="1"/>
        <v>12459.98</v>
      </c>
      <c r="T17" s="8" t="s">
        <v>82</v>
      </c>
      <c r="U17" s="13">
        <v>66776.2</v>
      </c>
      <c r="V17" t="str">
        <f t="shared" si="2"/>
        <v>Sudan</v>
      </c>
      <c r="W17" s="13">
        <f t="shared" si="3"/>
        <v>66776.2</v>
      </c>
    </row>
    <row r="18" spans="3:23" x14ac:dyDescent="0.25">
      <c r="C18" t="str">
        <f t="shared" ref="C18:G18" si="7">C4</f>
        <v>January</v>
      </c>
      <c r="D18">
        <f t="shared" si="7"/>
        <v>0</v>
      </c>
      <c r="E18">
        <f t="shared" si="7"/>
        <v>6316.05</v>
      </c>
      <c r="F18">
        <f t="shared" si="7"/>
        <v>8104.52</v>
      </c>
      <c r="G18">
        <f t="shared" si="7"/>
        <v>26257.02</v>
      </c>
      <c r="H18" s="8" t="s">
        <v>23</v>
      </c>
      <c r="I18" s="13">
        <v>45520.15</v>
      </c>
      <c r="P18" s="8">
        <v>22</v>
      </c>
      <c r="Q18" s="13">
        <v>15722.91</v>
      </c>
      <c r="R18">
        <f t="shared" si="0"/>
        <v>22</v>
      </c>
      <c r="S18" s="13">
        <f t="shared" si="1"/>
        <v>15722.91</v>
      </c>
      <c r="T18" s="8" t="s">
        <v>79</v>
      </c>
      <c r="U18" s="13">
        <v>911.36</v>
      </c>
      <c r="V18" t="str">
        <f t="shared" si="2"/>
        <v>Syria</v>
      </c>
      <c r="W18" s="13">
        <f t="shared" si="3"/>
        <v>911.36</v>
      </c>
    </row>
    <row r="19" spans="3:23" x14ac:dyDescent="0.25">
      <c r="C19" t="str">
        <f t="shared" ref="C19:G19" si="8">C5</f>
        <v>February</v>
      </c>
      <c r="D19">
        <f t="shared" si="8"/>
        <v>0</v>
      </c>
      <c r="E19">
        <f t="shared" si="8"/>
        <v>1449</v>
      </c>
      <c r="F19">
        <f t="shared" si="8"/>
        <v>14298.599999999999</v>
      </c>
      <c r="G19">
        <f t="shared" si="8"/>
        <v>5341.95</v>
      </c>
      <c r="H19" s="8" t="s">
        <v>64</v>
      </c>
      <c r="I19" s="13">
        <v>44238.080000000002</v>
      </c>
      <c r="P19" s="8">
        <v>23</v>
      </c>
      <c r="Q19" s="13">
        <v>26395.84</v>
      </c>
      <c r="R19">
        <f t="shared" si="0"/>
        <v>23</v>
      </c>
      <c r="S19" s="13">
        <f t="shared" si="1"/>
        <v>26395.84</v>
      </c>
      <c r="T19" s="8" t="s">
        <v>55</v>
      </c>
      <c r="U19" s="13">
        <v>55612.81</v>
      </c>
      <c r="V19" t="str">
        <f t="shared" si="2"/>
        <v>Tunisia</v>
      </c>
      <c r="W19" s="13">
        <f t="shared" si="3"/>
        <v>55612.81</v>
      </c>
    </row>
    <row r="20" spans="3:23" x14ac:dyDescent="0.25">
      <c r="C20" t="str">
        <f t="shared" ref="C20:G20" si="9">C6</f>
        <v>March</v>
      </c>
      <c r="D20">
        <f t="shared" si="9"/>
        <v>0</v>
      </c>
      <c r="E20">
        <f t="shared" si="9"/>
        <v>0</v>
      </c>
      <c r="F20">
        <f t="shared" si="9"/>
        <v>2364.8000000000002</v>
      </c>
      <c r="G20">
        <f t="shared" si="9"/>
        <v>73428.06</v>
      </c>
      <c r="H20" s="8" t="s">
        <v>34</v>
      </c>
      <c r="I20" s="13">
        <v>43876.259999999995</v>
      </c>
      <c r="P20" s="8">
        <v>24</v>
      </c>
      <c r="Q20" s="13">
        <v>28944.21</v>
      </c>
      <c r="R20">
        <f t="shared" si="0"/>
        <v>24</v>
      </c>
      <c r="S20" s="13">
        <f t="shared" si="1"/>
        <v>28944.21</v>
      </c>
      <c r="T20" s="8" t="s">
        <v>13</v>
      </c>
      <c r="U20" s="13">
        <v>88738.22</v>
      </c>
      <c r="V20" t="str">
        <f t="shared" si="2"/>
        <v>UAE</v>
      </c>
      <c r="W20" s="13">
        <f t="shared" si="3"/>
        <v>88738.22</v>
      </c>
    </row>
    <row r="21" spans="3:23" x14ac:dyDescent="0.25">
      <c r="C21" t="str">
        <f t="shared" ref="C21:G21" si="10">C7</f>
        <v>April</v>
      </c>
      <c r="D21">
        <f t="shared" si="10"/>
        <v>0</v>
      </c>
      <c r="E21">
        <f t="shared" si="10"/>
        <v>107187.77</v>
      </c>
      <c r="F21">
        <f t="shared" si="10"/>
        <v>41115.82</v>
      </c>
      <c r="G21">
        <f t="shared" si="10"/>
        <v>32971.32</v>
      </c>
      <c r="H21" s="8" t="s">
        <v>61</v>
      </c>
      <c r="I21" s="13">
        <v>41178.479999999996</v>
      </c>
      <c r="P21" s="8">
        <v>25</v>
      </c>
      <c r="Q21" s="13">
        <v>58732.18</v>
      </c>
      <c r="R21">
        <f t="shared" si="0"/>
        <v>25</v>
      </c>
      <c r="S21" s="13">
        <f t="shared" si="1"/>
        <v>58732.18</v>
      </c>
      <c r="T21" s="8" t="s">
        <v>84</v>
      </c>
      <c r="U21" s="13">
        <v>47139.64</v>
      </c>
      <c r="V21" t="str">
        <f t="shared" si="2"/>
        <v>Western Sahara</v>
      </c>
      <c r="W21" s="13">
        <f t="shared" si="3"/>
        <v>47139.64</v>
      </c>
    </row>
    <row r="22" spans="3:23" x14ac:dyDescent="0.25">
      <c r="C22" t="str">
        <f t="shared" ref="C22:G22" si="11">C8</f>
        <v>May</v>
      </c>
      <c r="D22">
        <f t="shared" si="11"/>
        <v>0</v>
      </c>
      <c r="E22">
        <f t="shared" si="11"/>
        <v>57018.810000000005</v>
      </c>
      <c r="F22">
        <f t="shared" si="11"/>
        <v>44386.62</v>
      </c>
      <c r="G22">
        <f t="shared" si="11"/>
        <v>18612.02</v>
      </c>
      <c r="H22" s="8" t="s">
        <v>30</v>
      </c>
      <c r="I22" s="13">
        <v>25233.089999999997</v>
      </c>
      <c r="P22" s="8">
        <v>26</v>
      </c>
      <c r="Q22" s="13">
        <v>46466.869999999995</v>
      </c>
      <c r="R22">
        <f t="shared" si="0"/>
        <v>26</v>
      </c>
      <c r="S22" s="13">
        <f t="shared" si="1"/>
        <v>46466.869999999995</v>
      </c>
      <c r="T22" s="8" t="s">
        <v>80</v>
      </c>
      <c r="U22" s="13">
        <v>8965.25</v>
      </c>
      <c r="V22" t="str">
        <f t="shared" si="2"/>
        <v>Yemen</v>
      </c>
      <c r="W22" s="13">
        <f t="shared" si="3"/>
        <v>8965.25</v>
      </c>
    </row>
    <row r="23" spans="3:23" x14ac:dyDescent="0.25">
      <c r="C23" t="str">
        <f t="shared" ref="C23:G23" si="12">C9</f>
        <v>June</v>
      </c>
      <c r="D23">
        <f t="shared" si="12"/>
        <v>0</v>
      </c>
      <c r="E23">
        <f t="shared" si="12"/>
        <v>44028.3</v>
      </c>
      <c r="F23">
        <f t="shared" si="12"/>
        <v>56329.919999999998</v>
      </c>
      <c r="G23">
        <f t="shared" si="12"/>
        <v>60180.880000000005</v>
      </c>
      <c r="H23" s="8" t="s">
        <v>66</v>
      </c>
      <c r="I23" s="13">
        <v>10354.039999999999</v>
      </c>
      <c r="P23" s="8">
        <v>27</v>
      </c>
      <c r="Q23" s="13">
        <v>27303.4</v>
      </c>
      <c r="R23">
        <f t="shared" si="0"/>
        <v>27</v>
      </c>
      <c r="S23" s="13">
        <f t="shared" si="1"/>
        <v>27303.4</v>
      </c>
      <c r="W23" s="13"/>
    </row>
    <row r="24" spans="3:23" x14ac:dyDescent="0.25">
      <c r="C24" t="str">
        <f t="shared" ref="C24:G24" si="13">C10</f>
        <v>July</v>
      </c>
      <c r="D24">
        <f t="shared" si="13"/>
        <v>31943.269999999997</v>
      </c>
      <c r="E24">
        <f t="shared" si="13"/>
        <v>0</v>
      </c>
      <c r="F24">
        <f t="shared" si="13"/>
        <v>32470.95</v>
      </c>
      <c r="G24">
        <f t="shared" si="13"/>
        <v>124456.98999999999</v>
      </c>
      <c r="H24" s="8" t="s">
        <v>20</v>
      </c>
      <c r="I24" s="13">
        <v>8186.579999999999</v>
      </c>
      <c r="P24" s="8">
        <v>28</v>
      </c>
      <c r="Q24" s="13">
        <v>22301.739999999998</v>
      </c>
      <c r="R24">
        <f t="shared" si="0"/>
        <v>28</v>
      </c>
      <c r="S24" s="13">
        <f t="shared" si="1"/>
        <v>22301.739999999998</v>
      </c>
      <c r="W24" s="13"/>
    </row>
    <row r="25" spans="3:23" x14ac:dyDescent="0.25">
      <c r="C25" t="str">
        <f t="shared" ref="C25:G25" si="14">C11</f>
        <v>August</v>
      </c>
      <c r="D25">
        <f t="shared" si="14"/>
        <v>0</v>
      </c>
      <c r="E25">
        <f t="shared" si="14"/>
        <v>0</v>
      </c>
      <c r="F25">
        <f t="shared" si="14"/>
        <v>46550</v>
      </c>
      <c r="G25">
        <f t="shared" si="14"/>
        <v>67998.080000000002</v>
      </c>
      <c r="H25" t="s">
        <v>89</v>
      </c>
      <c r="I25" t="s">
        <v>90</v>
      </c>
      <c r="P25" s="8">
        <v>29</v>
      </c>
      <c r="Q25" s="13">
        <v>71390.76999999999</v>
      </c>
      <c r="R25">
        <f t="shared" si="0"/>
        <v>29</v>
      </c>
      <c r="S25" s="13">
        <f t="shared" si="1"/>
        <v>71390.76999999999</v>
      </c>
      <c r="W25" s="13"/>
    </row>
    <row r="26" spans="3:23" x14ac:dyDescent="0.25">
      <c r="C26" t="str">
        <f t="shared" ref="C26:G26" si="15">C12</f>
        <v>September</v>
      </c>
      <c r="D26">
        <f t="shared" si="15"/>
        <v>61532.54</v>
      </c>
      <c r="E26">
        <f t="shared" si="15"/>
        <v>0</v>
      </c>
      <c r="F26">
        <f t="shared" si="15"/>
        <v>24293.119999999999</v>
      </c>
      <c r="G26">
        <f t="shared" si="15"/>
        <v>82889.399999999994</v>
      </c>
      <c r="P26" s="8">
        <v>30</v>
      </c>
      <c r="Q26" s="13">
        <v>39885.11</v>
      </c>
      <c r="R26">
        <f t="shared" si="0"/>
        <v>30</v>
      </c>
      <c r="S26" s="13">
        <f t="shared" si="1"/>
        <v>39885.11</v>
      </c>
      <c r="W26" s="13"/>
    </row>
    <row r="27" spans="3:23" x14ac:dyDescent="0.25">
      <c r="C27" t="str">
        <f t="shared" ref="C27:G27" si="16">C13</f>
        <v>October</v>
      </c>
      <c r="D27">
        <f t="shared" si="16"/>
        <v>0</v>
      </c>
      <c r="E27">
        <f t="shared" si="16"/>
        <v>0</v>
      </c>
      <c r="F27">
        <f t="shared" si="16"/>
        <v>34104.870000000003</v>
      </c>
      <c r="G27">
        <f t="shared" si="16"/>
        <v>63916.92</v>
      </c>
      <c r="H27" s="17" t="str">
        <f t="shared" ref="H27:I36" si="17">H5</f>
        <v>Router</v>
      </c>
      <c r="I27" s="13">
        <f t="shared" si="17"/>
        <v>133188.24999999997</v>
      </c>
      <c r="P27" s="8">
        <v>31</v>
      </c>
      <c r="Q27" s="13">
        <v>74540.19</v>
      </c>
      <c r="R27">
        <f t="shared" si="0"/>
        <v>31</v>
      </c>
      <c r="S27" s="13">
        <f t="shared" si="1"/>
        <v>74540.19</v>
      </c>
      <c r="W27" s="13"/>
    </row>
    <row r="28" spans="3:23" x14ac:dyDescent="0.25">
      <c r="C28" t="str">
        <f t="shared" ref="C28:G28" si="18">C14</f>
        <v>November</v>
      </c>
      <c r="D28">
        <f t="shared" si="18"/>
        <v>0</v>
      </c>
      <c r="E28">
        <f t="shared" si="18"/>
        <v>0</v>
      </c>
      <c r="F28">
        <f t="shared" si="18"/>
        <v>60036.22</v>
      </c>
      <c r="G28">
        <f t="shared" si="18"/>
        <v>138395.66</v>
      </c>
      <c r="H28" s="17" t="str">
        <f t="shared" si="17"/>
        <v>External Hard Drive</v>
      </c>
      <c r="I28" s="13">
        <f t="shared" si="17"/>
        <v>114197.98999999999</v>
      </c>
      <c r="P28" s="8">
        <v>32</v>
      </c>
      <c r="Q28" s="13">
        <v>67998.080000000002</v>
      </c>
      <c r="R28">
        <f t="shared" si="0"/>
        <v>32</v>
      </c>
      <c r="S28" s="13">
        <f t="shared" si="1"/>
        <v>67998.080000000002</v>
      </c>
      <c r="W28" s="13"/>
    </row>
    <row r="29" spans="3:23" x14ac:dyDescent="0.25">
      <c r="C29" t="str">
        <f t="shared" ref="C29:G29" si="19">C15</f>
        <v>December</v>
      </c>
      <c r="D29">
        <f t="shared" si="19"/>
        <v>0</v>
      </c>
      <c r="E29">
        <f t="shared" si="19"/>
        <v>0</v>
      </c>
      <c r="F29">
        <f t="shared" si="19"/>
        <v>911.36</v>
      </c>
      <c r="G29">
        <f t="shared" si="19"/>
        <v>36515.67</v>
      </c>
      <c r="H29" s="17" t="str">
        <f t="shared" si="17"/>
        <v>Bluetooth Speaker</v>
      </c>
      <c r="I29" s="13">
        <f t="shared" si="17"/>
        <v>109271.89</v>
      </c>
      <c r="P29" s="8">
        <v>36</v>
      </c>
      <c r="Q29" s="13">
        <v>18257.439999999999</v>
      </c>
      <c r="R29">
        <f t="shared" si="0"/>
        <v>36</v>
      </c>
      <c r="S29" s="13">
        <f t="shared" si="1"/>
        <v>18257.439999999999</v>
      </c>
      <c r="W29" s="13"/>
    </row>
    <row r="30" spans="3:23" x14ac:dyDescent="0.25">
      <c r="H30" s="17" t="str">
        <f t="shared" si="17"/>
        <v>Desk Lamp</v>
      </c>
      <c r="I30" s="13">
        <f t="shared" si="17"/>
        <v>102458.74999999999</v>
      </c>
      <c r="P30" s="8">
        <v>38</v>
      </c>
      <c r="Q30" s="13">
        <v>49971.24</v>
      </c>
      <c r="R30">
        <f t="shared" si="0"/>
        <v>38</v>
      </c>
      <c r="S30" s="13">
        <f t="shared" si="1"/>
        <v>49971.24</v>
      </c>
      <c r="W30" s="13"/>
    </row>
    <row r="31" spans="3:23" x14ac:dyDescent="0.25">
      <c r="H31" s="17" t="str">
        <f t="shared" si="17"/>
        <v>Tablet</v>
      </c>
      <c r="I31" s="13">
        <f t="shared" si="17"/>
        <v>98651.650000000009</v>
      </c>
      <c r="P31" s="8">
        <v>39</v>
      </c>
      <c r="Q31" s="13">
        <v>84499.66</v>
      </c>
      <c r="R31">
        <f t="shared" si="0"/>
        <v>39</v>
      </c>
      <c r="S31" s="13">
        <f t="shared" si="1"/>
        <v>84499.66</v>
      </c>
      <c r="W31" s="13"/>
    </row>
    <row r="32" spans="3:23" x14ac:dyDescent="0.25">
      <c r="H32" s="17" t="str">
        <f t="shared" si="17"/>
        <v>Portable SSD</v>
      </c>
      <c r="I32" s="13">
        <f t="shared" si="17"/>
        <v>93719.87999999999</v>
      </c>
      <c r="P32" s="8">
        <v>40</v>
      </c>
      <c r="Q32" s="13">
        <v>15986.720000000001</v>
      </c>
      <c r="R32">
        <f t="shared" si="0"/>
        <v>40</v>
      </c>
      <c r="S32" s="13">
        <f t="shared" si="1"/>
        <v>15986.720000000001</v>
      </c>
      <c r="W32" s="13"/>
    </row>
    <row r="33" spans="8:23" x14ac:dyDescent="0.25">
      <c r="H33" s="17" t="str">
        <f t="shared" si="17"/>
        <v>Headphones</v>
      </c>
      <c r="I33" s="13">
        <f t="shared" si="17"/>
        <v>90446.549999999988</v>
      </c>
      <c r="P33" s="8">
        <v>41</v>
      </c>
      <c r="Q33" s="13">
        <v>30980.519999999997</v>
      </c>
      <c r="R33">
        <f t="shared" si="0"/>
        <v>41</v>
      </c>
      <c r="S33" s="13">
        <f t="shared" si="1"/>
        <v>30980.519999999997</v>
      </c>
      <c r="W33" s="13"/>
    </row>
    <row r="34" spans="8:23" x14ac:dyDescent="0.25">
      <c r="H34" s="17" t="str">
        <f t="shared" si="17"/>
        <v>Printer</v>
      </c>
      <c r="I34" s="13">
        <f t="shared" si="17"/>
        <v>82443.009999999995</v>
      </c>
      <c r="P34" s="8">
        <v>42</v>
      </c>
      <c r="Q34" s="13">
        <v>34104.870000000003</v>
      </c>
      <c r="R34">
        <f t="shared" si="0"/>
        <v>42</v>
      </c>
      <c r="S34" s="13">
        <f t="shared" si="1"/>
        <v>34104.870000000003</v>
      </c>
      <c r="W34" s="13"/>
    </row>
    <row r="35" spans="8:23" x14ac:dyDescent="0.25">
      <c r="H35" s="17" t="str">
        <f t="shared" si="17"/>
        <v>Laptop</v>
      </c>
      <c r="I35" s="13">
        <f t="shared" si="17"/>
        <v>77913</v>
      </c>
      <c r="P35" s="8">
        <v>43</v>
      </c>
      <c r="Q35" s="13">
        <v>32936.400000000001</v>
      </c>
      <c r="R35">
        <f t="shared" si="0"/>
        <v>43</v>
      </c>
      <c r="S35" s="13">
        <f t="shared" si="1"/>
        <v>32936.400000000001</v>
      </c>
      <c r="W35" s="13"/>
    </row>
    <row r="36" spans="8:23" x14ac:dyDescent="0.25">
      <c r="H36" s="17" t="str">
        <f t="shared" si="17"/>
        <v>Keyboard</v>
      </c>
      <c r="I36" s="13">
        <f t="shared" si="17"/>
        <v>76293</v>
      </c>
      <c r="J36" s="13"/>
      <c r="P36" s="8">
        <v>44</v>
      </c>
      <c r="Q36" s="13">
        <v>4225.32</v>
      </c>
      <c r="R36">
        <f t="shared" si="0"/>
        <v>44</v>
      </c>
      <c r="S36" s="13">
        <f t="shared" si="1"/>
        <v>4225.32</v>
      </c>
      <c r="W36" s="13"/>
    </row>
    <row r="37" spans="8:23" x14ac:dyDescent="0.25">
      <c r="I37" s="17"/>
      <c r="J37" s="13"/>
      <c r="P37" s="8">
        <v>45</v>
      </c>
      <c r="Q37" s="13">
        <v>16812.07</v>
      </c>
      <c r="R37">
        <f t="shared" si="0"/>
        <v>45</v>
      </c>
      <c r="S37" s="13">
        <f t="shared" si="1"/>
        <v>16812.07</v>
      </c>
      <c r="W37" s="13"/>
    </row>
    <row r="38" spans="8:23" x14ac:dyDescent="0.25">
      <c r="I38" s="17"/>
      <c r="J38" s="13"/>
      <c r="P38" s="8">
        <v>46</v>
      </c>
      <c r="Q38" s="13">
        <v>25028.19</v>
      </c>
      <c r="R38">
        <f t="shared" si="0"/>
        <v>46</v>
      </c>
      <c r="S38" s="13">
        <f t="shared" si="1"/>
        <v>25028.19</v>
      </c>
      <c r="W38" s="13"/>
    </row>
    <row r="39" spans="8:23" x14ac:dyDescent="0.25">
      <c r="I39" s="17"/>
      <c r="J39" s="13"/>
      <c r="P39" s="8">
        <v>47</v>
      </c>
      <c r="Q39" s="13">
        <v>54305.520000000004</v>
      </c>
      <c r="R39">
        <f t="shared" si="0"/>
        <v>47</v>
      </c>
      <c r="S39" s="13">
        <f t="shared" si="1"/>
        <v>54305.520000000004</v>
      </c>
      <c r="W39" s="13"/>
    </row>
    <row r="40" spans="8:23" x14ac:dyDescent="0.25">
      <c r="P40" s="8">
        <v>48</v>
      </c>
      <c r="Q40" s="13">
        <v>98060.78</v>
      </c>
      <c r="R40">
        <f t="shared" si="0"/>
        <v>48</v>
      </c>
      <c r="S40" s="13">
        <f t="shared" si="1"/>
        <v>98060.78</v>
      </c>
      <c r="W40" s="13"/>
    </row>
    <row r="41" spans="8:23" x14ac:dyDescent="0.25">
      <c r="P41" s="8">
        <v>50</v>
      </c>
      <c r="Q41" s="13">
        <v>7727.6099999999988</v>
      </c>
      <c r="R41">
        <f t="shared" si="0"/>
        <v>50</v>
      </c>
      <c r="S41" s="13">
        <f t="shared" si="1"/>
        <v>7727.6099999999988</v>
      </c>
      <c r="W41" s="13"/>
    </row>
    <row r="42" spans="8:23" x14ac:dyDescent="0.25">
      <c r="P42" s="8">
        <v>51</v>
      </c>
      <c r="Q42" s="13">
        <v>29699.42</v>
      </c>
      <c r="R42">
        <f t="shared" si="0"/>
        <v>51</v>
      </c>
      <c r="S42" s="13">
        <f t="shared" si="1"/>
        <v>29699.42</v>
      </c>
      <c r="W42" s="13"/>
    </row>
  </sheetData>
  <pageMargins left="0.7" right="0.7" top="0.75" bottom="0.75" header="0.3" footer="0.3"/>
  <pageSetup paperSize="9" orientation="portrait" r:id="rId8"/>
  <tableParts count="6">
    <tablePart r:id="rId9"/>
    <tablePart r:id="rId10"/>
    <tablePart r:id="rId11"/>
    <tablePart r:id="rId12"/>
    <tablePart r:id="rId13"/>
    <tablePart r:id="rId1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0DA68-6E76-451A-8306-2274127BD9BA}">
  <sheetPr codeName="Sheet1">
    <tabColor rgb="FF00B050"/>
  </sheetPr>
  <dimension ref="A1:L1048576"/>
  <sheetViews>
    <sheetView zoomScale="145" zoomScaleNormal="145" workbookViewId="0">
      <pane ySplit="1" topLeftCell="A89" activePane="bottomLeft" state="frozen"/>
      <selection pane="bottomLeft" activeCell="F86" sqref="F86"/>
    </sheetView>
  </sheetViews>
  <sheetFormatPr defaultRowHeight="15" x14ac:dyDescent="0.25"/>
  <cols>
    <col min="1" max="1" width="5.5703125" style="2" customWidth="1"/>
    <col min="2" max="2" width="11.28515625" style="2" bestFit="1" customWidth="1"/>
    <col min="3" max="3" width="14.28515625" style="8" bestFit="1" customWidth="1"/>
    <col min="4" max="4" width="18.28515625" style="8" bestFit="1" customWidth="1"/>
    <col min="5" max="5" width="9.7109375" style="5" bestFit="1" customWidth="1"/>
    <col min="6" max="6" width="8.7109375" style="2" bestFit="1" customWidth="1"/>
    <col min="7" max="7" width="11.7109375" style="5" bestFit="1" customWidth="1"/>
    <col min="8" max="8" width="10.85546875" style="5" bestFit="1" customWidth="1"/>
    <col min="9" max="9" width="14.140625" style="8" bestFit="1" customWidth="1"/>
    <col min="10" max="10" width="13.28515625" style="8" bestFit="1" customWidth="1"/>
    <col min="11" max="11" width="13.140625" style="2" customWidth="1"/>
    <col min="12" max="12" width="9.7109375" style="2" customWidth="1"/>
  </cols>
  <sheetData>
    <row r="1" spans="1:12" s="11" customFormat="1" ht="36" customHeight="1" x14ac:dyDescent="0.25">
      <c r="A1" s="6" t="s">
        <v>31</v>
      </c>
      <c r="B1" s="6" t="s">
        <v>0</v>
      </c>
      <c r="C1" s="6" t="s">
        <v>1</v>
      </c>
      <c r="D1" s="6" t="s">
        <v>2</v>
      </c>
      <c r="E1" s="7" t="s">
        <v>56</v>
      </c>
      <c r="F1" s="6" t="s">
        <v>3</v>
      </c>
      <c r="G1" s="7" t="s">
        <v>57</v>
      </c>
      <c r="H1" s="7" t="s">
        <v>58</v>
      </c>
      <c r="I1" s="6" t="s">
        <v>4</v>
      </c>
      <c r="J1" s="6" t="s">
        <v>5</v>
      </c>
      <c r="K1" s="6" t="s">
        <v>6</v>
      </c>
      <c r="L1" s="6" t="s">
        <v>59</v>
      </c>
    </row>
    <row r="2" spans="1:12" x14ac:dyDescent="0.25">
      <c r="A2" s="3">
        <v>1</v>
      </c>
      <c r="B2" s="1">
        <v>46023</v>
      </c>
      <c r="C2" s="9" t="s">
        <v>7</v>
      </c>
      <c r="D2" s="10" t="s">
        <v>12</v>
      </c>
      <c r="E2" s="4">
        <v>108.87</v>
      </c>
      <c r="F2" s="3">
        <v>71</v>
      </c>
      <c r="G2" s="4">
        <f>E2*F2</f>
        <v>7729.77</v>
      </c>
      <c r="H2" s="4">
        <v>1555.91</v>
      </c>
      <c r="I2" s="9" t="s">
        <v>8</v>
      </c>
      <c r="J2" s="9" t="s">
        <v>9</v>
      </c>
      <c r="K2" s="3" t="s">
        <v>10</v>
      </c>
      <c r="L2" s="3">
        <v>1</v>
      </c>
    </row>
    <row r="3" spans="1:12" x14ac:dyDescent="0.25">
      <c r="A3" s="3">
        <v>2</v>
      </c>
      <c r="B3" s="1">
        <v>46024</v>
      </c>
      <c r="C3" s="9" t="s">
        <v>11</v>
      </c>
      <c r="D3" s="10" t="s">
        <v>27</v>
      </c>
      <c r="E3" s="4">
        <v>14.99</v>
      </c>
      <c r="F3" s="3">
        <v>25</v>
      </c>
      <c r="G3" s="4">
        <f t="shared" ref="G3:G66" si="0">E3*F3</f>
        <v>374.75</v>
      </c>
      <c r="H3" s="4">
        <v>41.96</v>
      </c>
      <c r="I3" s="9" t="s">
        <v>13</v>
      </c>
      <c r="J3" s="9" t="s">
        <v>9</v>
      </c>
      <c r="K3" s="3" t="s">
        <v>10</v>
      </c>
      <c r="L3" s="3">
        <v>1</v>
      </c>
    </row>
    <row r="4" spans="1:12" x14ac:dyDescent="0.25">
      <c r="A4" s="3">
        <v>3</v>
      </c>
      <c r="B4" s="1">
        <v>46027</v>
      </c>
      <c r="C4" s="9" t="s">
        <v>14</v>
      </c>
      <c r="D4" s="10" t="s">
        <v>60</v>
      </c>
      <c r="E4" s="4">
        <v>279.74</v>
      </c>
      <c r="F4" s="3">
        <v>9</v>
      </c>
      <c r="G4" s="4">
        <f t="shared" si="0"/>
        <v>2517.66</v>
      </c>
      <c r="H4" s="4">
        <v>597.76</v>
      </c>
      <c r="I4" s="9" t="s">
        <v>16</v>
      </c>
      <c r="J4" s="9" t="s">
        <v>17</v>
      </c>
      <c r="K4" s="3" t="s">
        <v>10</v>
      </c>
      <c r="L4" s="3">
        <v>2</v>
      </c>
    </row>
    <row r="5" spans="1:12" x14ac:dyDescent="0.25">
      <c r="A5" s="3">
        <v>4</v>
      </c>
      <c r="B5" s="1">
        <v>46030</v>
      </c>
      <c r="C5" s="9" t="s">
        <v>7</v>
      </c>
      <c r="D5" s="10" t="s">
        <v>61</v>
      </c>
      <c r="E5" s="4">
        <v>494.57</v>
      </c>
      <c r="F5" s="3">
        <v>48</v>
      </c>
      <c r="G5" s="4">
        <f t="shared" si="0"/>
        <v>23739.360000000001</v>
      </c>
      <c r="H5" s="4">
        <v>5261.71</v>
      </c>
      <c r="I5" s="9" t="s">
        <v>18</v>
      </c>
      <c r="J5" s="9" t="s">
        <v>17</v>
      </c>
      <c r="K5" s="3" t="s">
        <v>10</v>
      </c>
      <c r="L5" s="3">
        <v>2</v>
      </c>
    </row>
    <row r="6" spans="1:12" x14ac:dyDescent="0.25">
      <c r="A6" s="3">
        <v>5</v>
      </c>
      <c r="B6" s="1">
        <v>46032</v>
      </c>
      <c r="C6" s="9" t="s">
        <v>19</v>
      </c>
      <c r="D6" s="10" t="s">
        <v>62</v>
      </c>
      <c r="E6" s="4">
        <v>154.05000000000001</v>
      </c>
      <c r="F6" s="3">
        <v>41</v>
      </c>
      <c r="G6" s="4">
        <f t="shared" si="0"/>
        <v>6316.05</v>
      </c>
      <c r="H6" s="4">
        <v>1530.86</v>
      </c>
      <c r="I6" s="9" t="s">
        <v>21</v>
      </c>
      <c r="J6" s="9" t="s">
        <v>22</v>
      </c>
      <c r="K6" s="3" t="s">
        <v>10</v>
      </c>
      <c r="L6" s="3">
        <v>2</v>
      </c>
    </row>
    <row r="7" spans="1:12" x14ac:dyDescent="0.25">
      <c r="A7" s="3">
        <v>6</v>
      </c>
      <c r="B7" s="1">
        <v>46054</v>
      </c>
      <c r="C7" s="9" t="s">
        <v>11</v>
      </c>
      <c r="D7" s="10" t="s">
        <v>12</v>
      </c>
      <c r="E7" s="4">
        <v>118.71</v>
      </c>
      <c r="F7" s="3">
        <v>45</v>
      </c>
      <c r="G7" s="4">
        <f t="shared" si="0"/>
        <v>5341.95</v>
      </c>
      <c r="H7" s="4">
        <v>1598.26</v>
      </c>
      <c r="I7" s="9" t="s">
        <v>16</v>
      </c>
      <c r="J7" s="9" t="s">
        <v>17</v>
      </c>
      <c r="K7" s="3" t="s">
        <v>29</v>
      </c>
      <c r="L7" s="3">
        <v>5</v>
      </c>
    </row>
    <row r="8" spans="1:12" x14ac:dyDescent="0.25">
      <c r="A8" s="3">
        <v>7</v>
      </c>
      <c r="B8" s="1">
        <v>46056</v>
      </c>
      <c r="C8" s="9" t="s">
        <v>14</v>
      </c>
      <c r="D8" s="10" t="s">
        <v>12</v>
      </c>
      <c r="E8" s="4">
        <v>41.4</v>
      </c>
      <c r="F8" s="3">
        <v>35</v>
      </c>
      <c r="G8" s="4">
        <f t="shared" si="0"/>
        <v>1449</v>
      </c>
      <c r="H8" s="4">
        <v>167.95</v>
      </c>
      <c r="I8" s="9" t="s">
        <v>54</v>
      </c>
      <c r="J8" s="9" t="s">
        <v>22</v>
      </c>
      <c r="K8" s="3" t="s">
        <v>29</v>
      </c>
      <c r="L8" s="3">
        <v>6</v>
      </c>
    </row>
    <row r="9" spans="1:12" x14ac:dyDescent="0.25">
      <c r="A9" s="3">
        <v>8</v>
      </c>
      <c r="B9" s="1">
        <v>46060</v>
      </c>
      <c r="C9" s="9" t="s">
        <v>19</v>
      </c>
      <c r="D9" s="10" t="s">
        <v>63</v>
      </c>
      <c r="E9" s="4">
        <v>230.25</v>
      </c>
      <c r="F9" s="3">
        <v>41</v>
      </c>
      <c r="G9" s="4">
        <f t="shared" si="0"/>
        <v>9440.25</v>
      </c>
      <c r="H9" s="4">
        <v>1306.6400000000001</v>
      </c>
      <c r="I9" s="9" t="s">
        <v>25</v>
      </c>
      <c r="J9" s="9" t="s">
        <v>9</v>
      </c>
      <c r="K9" s="3" t="s">
        <v>29</v>
      </c>
      <c r="L9" s="3">
        <v>6</v>
      </c>
    </row>
    <row r="10" spans="1:12" x14ac:dyDescent="0.25">
      <c r="A10" s="3">
        <v>9</v>
      </c>
      <c r="B10" s="1">
        <v>46063</v>
      </c>
      <c r="C10" s="9" t="s">
        <v>7</v>
      </c>
      <c r="D10" s="10" t="s">
        <v>12</v>
      </c>
      <c r="E10" s="4">
        <v>323.89</v>
      </c>
      <c r="F10" s="3">
        <v>15</v>
      </c>
      <c r="G10" s="4">
        <f t="shared" si="0"/>
        <v>4858.3499999999995</v>
      </c>
      <c r="H10" s="4">
        <v>1044.9000000000001</v>
      </c>
      <c r="I10" s="9" t="s">
        <v>8</v>
      </c>
      <c r="J10" s="9" t="s">
        <v>9</v>
      </c>
      <c r="K10" s="3" t="s">
        <v>29</v>
      </c>
      <c r="L10" s="3">
        <v>7</v>
      </c>
    </row>
    <row r="11" spans="1:12" x14ac:dyDescent="0.25">
      <c r="A11" s="3">
        <v>10</v>
      </c>
      <c r="B11" s="1">
        <v>46082</v>
      </c>
      <c r="C11" s="9" t="s">
        <v>11</v>
      </c>
      <c r="D11" s="10" t="s">
        <v>64</v>
      </c>
      <c r="E11" s="4">
        <v>73.900000000000006</v>
      </c>
      <c r="F11" s="3">
        <v>32</v>
      </c>
      <c r="G11" s="4">
        <f t="shared" si="0"/>
        <v>2364.8000000000002</v>
      </c>
      <c r="H11" s="4">
        <v>649.15</v>
      </c>
      <c r="I11" s="9" t="s">
        <v>13</v>
      </c>
      <c r="J11" s="9" t="s">
        <v>9</v>
      </c>
      <c r="K11" s="3" t="s">
        <v>32</v>
      </c>
      <c r="L11" s="3">
        <v>9</v>
      </c>
    </row>
    <row r="12" spans="1:12" x14ac:dyDescent="0.25">
      <c r="A12" s="3">
        <v>11</v>
      </c>
      <c r="B12" s="1">
        <v>46085</v>
      </c>
      <c r="C12" s="9" t="s">
        <v>14</v>
      </c>
      <c r="D12" s="10" t="s">
        <v>65</v>
      </c>
      <c r="E12" s="4">
        <v>256.13</v>
      </c>
      <c r="F12" s="3">
        <v>23</v>
      </c>
      <c r="G12" s="4">
        <f t="shared" si="0"/>
        <v>5890.99</v>
      </c>
      <c r="H12" s="4">
        <v>1647.48</v>
      </c>
      <c r="I12" s="9" t="s">
        <v>16</v>
      </c>
      <c r="J12" s="9" t="s">
        <v>17</v>
      </c>
      <c r="K12" s="3" t="s">
        <v>32</v>
      </c>
      <c r="L12" s="3">
        <v>10</v>
      </c>
    </row>
    <row r="13" spans="1:12" x14ac:dyDescent="0.25">
      <c r="A13" s="3">
        <v>12</v>
      </c>
      <c r="B13" s="1">
        <v>46087</v>
      </c>
      <c r="C13" s="9" t="s">
        <v>7</v>
      </c>
      <c r="D13" s="10" t="s">
        <v>60</v>
      </c>
      <c r="E13" s="4">
        <v>347.78</v>
      </c>
      <c r="F13" s="3">
        <v>65</v>
      </c>
      <c r="G13" s="4">
        <f t="shared" si="0"/>
        <v>22605.699999999997</v>
      </c>
      <c r="H13" s="4">
        <v>5907.7</v>
      </c>
      <c r="I13" s="9" t="s">
        <v>18</v>
      </c>
      <c r="J13" s="9" t="s">
        <v>17</v>
      </c>
      <c r="K13" s="3" t="s">
        <v>32</v>
      </c>
      <c r="L13" s="3">
        <v>10</v>
      </c>
    </row>
    <row r="14" spans="1:12" x14ac:dyDescent="0.25">
      <c r="A14" s="3">
        <v>13</v>
      </c>
      <c r="B14" s="1">
        <v>46089</v>
      </c>
      <c r="C14" s="9" t="s">
        <v>11</v>
      </c>
      <c r="D14" s="10" t="s">
        <v>26</v>
      </c>
      <c r="E14" s="4">
        <v>463.21</v>
      </c>
      <c r="F14" s="3">
        <v>97</v>
      </c>
      <c r="G14" s="4">
        <f t="shared" si="0"/>
        <v>44931.369999999995</v>
      </c>
      <c r="H14" s="4">
        <v>9210.31</v>
      </c>
      <c r="I14" s="9" t="s">
        <v>16</v>
      </c>
      <c r="J14" s="9" t="s">
        <v>17</v>
      </c>
      <c r="K14" s="3" t="s">
        <v>32</v>
      </c>
      <c r="L14" s="3">
        <v>10</v>
      </c>
    </row>
    <row r="15" spans="1:12" x14ac:dyDescent="0.25">
      <c r="A15" s="3">
        <v>14</v>
      </c>
      <c r="B15" s="1">
        <v>46114</v>
      </c>
      <c r="C15" s="9" t="s">
        <v>14</v>
      </c>
      <c r="D15" s="10" t="s">
        <v>65</v>
      </c>
      <c r="E15" s="4">
        <v>482.83</v>
      </c>
      <c r="F15" s="3">
        <v>87</v>
      </c>
      <c r="G15" s="4">
        <f t="shared" si="0"/>
        <v>42006.21</v>
      </c>
      <c r="H15" s="4">
        <v>11238.71</v>
      </c>
      <c r="I15" s="9" t="s">
        <v>24</v>
      </c>
      <c r="J15" s="9" t="s">
        <v>22</v>
      </c>
      <c r="K15" s="3" t="s">
        <v>33</v>
      </c>
      <c r="L15" s="3">
        <v>14</v>
      </c>
    </row>
    <row r="16" spans="1:12" x14ac:dyDescent="0.25">
      <c r="A16" s="3">
        <v>15</v>
      </c>
      <c r="B16" s="1">
        <v>46117</v>
      </c>
      <c r="C16" s="9" t="s">
        <v>19</v>
      </c>
      <c r="D16" s="10" t="s">
        <v>63</v>
      </c>
      <c r="E16" s="4">
        <v>90.53</v>
      </c>
      <c r="F16" s="3">
        <v>72</v>
      </c>
      <c r="G16" s="4">
        <f t="shared" si="0"/>
        <v>6518.16</v>
      </c>
      <c r="H16" s="4">
        <v>663.22</v>
      </c>
      <c r="I16" s="9" t="s">
        <v>21</v>
      </c>
      <c r="J16" s="9" t="s">
        <v>22</v>
      </c>
      <c r="K16" s="3" t="s">
        <v>33</v>
      </c>
      <c r="L16" s="3">
        <v>14</v>
      </c>
    </row>
    <row r="17" spans="1:12" x14ac:dyDescent="0.25">
      <c r="A17" s="3">
        <v>16</v>
      </c>
      <c r="B17" s="1">
        <v>46119</v>
      </c>
      <c r="C17" s="9" t="s">
        <v>7</v>
      </c>
      <c r="D17" s="10" t="s">
        <v>66</v>
      </c>
      <c r="E17" s="4">
        <v>192.73</v>
      </c>
      <c r="F17" s="3">
        <v>10</v>
      </c>
      <c r="G17" s="4">
        <f t="shared" si="0"/>
        <v>1927.3</v>
      </c>
      <c r="H17" s="4">
        <v>222.11</v>
      </c>
      <c r="I17" s="9" t="s">
        <v>8</v>
      </c>
      <c r="J17" s="9" t="s">
        <v>9</v>
      </c>
      <c r="K17" s="3" t="s">
        <v>33</v>
      </c>
      <c r="L17" s="3">
        <v>15</v>
      </c>
    </row>
    <row r="18" spans="1:12" x14ac:dyDescent="0.25">
      <c r="A18" s="3">
        <v>17</v>
      </c>
      <c r="B18" s="1">
        <v>46122</v>
      </c>
      <c r="C18" s="9" t="s">
        <v>11</v>
      </c>
      <c r="D18" s="10" t="s">
        <v>28</v>
      </c>
      <c r="E18" s="4">
        <v>444.12</v>
      </c>
      <c r="F18" s="3">
        <v>49</v>
      </c>
      <c r="G18" s="4">
        <f t="shared" si="0"/>
        <v>21761.88</v>
      </c>
      <c r="H18" s="4">
        <v>5867.18</v>
      </c>
      <c r="I18" s="9" t="s">
        <v>13</v>
      </c>
      <c r="J18" s="9" t="s">
        <v>9</v>
      </c>
      <c r="K18" s="3" t="s">
        <v>33</v>
      </c>
      <c r="L18" s="3">
        <v>15</v>
      </c>
    </row>
    <row r="19" spans="1:12" x14ac:dyDescent="0.25">
      <c r="A19" s="3">
        <v>18</v>
      </c>
      <c r="B19" s="1">
        <v>46124</v>
      </c>
      <c r="C19" s="9" t="s">
        <v>14</v>
      </c>
      <c r="D19" s="10" t="s">
        <v>26</v>
      </c>
      <c r="E19" s="4">
        <v>476.79</v>
      </c>
      <c r="F19" s="3">
        <v>8</v>
      </c>
      <c r="G19" s="4">
        <f t="shared" si="0"/>
        <v>3814.32</v>
      </c>
      <c r="H19" s="4">
        <v>717.27</v>
      </c>
      <c r="I19" s="9" t="s">
        <v>16</v>
      </c>
      <c r="J19" s="9" t="s">
        <v>17</v>
      </c>
      <c r="K19" s="3" t="s">
        <v>33</v>
      </c>
      <c r="L19" s="3">
        <v>15</v>
      </c>
    </row>
    <row r="20" spans="1:12" x14ac:dyDescent="0.25">
      <c r="A20" s="3">
        <v>19</v>
      </c>
      <c r="B20" s="1">
        <v>46126</v>
      </c>
      <c r="C20" s="9" t="s">
        <v>19</v>
      </c>
      <c r="D20" s="10" t="s">
        <v>67</v>
      </c>
      <c r="E20" s="4">
        <v>497</v>
      </c>
      <c r="F20" s="3">
        <v>21</v>
      </c>
      <c r="G20" s="4">
        <f t="shared" si="0"/>
        <v>10437</v>
      </c>
      <c r="H20" s="4">
        <v>1860.89</v>
      </c>
      <c r="I20" s="9" t="s">
        <v>18</v>
      </c>
      <c r="J20" s="9" t="s">
        <v>17</v>
      </c>
      <c r="K20" s="3" t="s">
        <v>33</v>
      </c>
      <c r="L20" s="3">
        <v>16</v>
      </c>
    </row>
    <row r="21" spans="1:12" x14ac:dyDescent="0.25">
      <c r="A21" s="3">
        <v>20</v>
      </c>
      <c r="B21" s="1">
        <v>46128</v>
      </c>
      <c r="C21" s="9" t="s">
        <v>7</v>
      </c>
      <c r="D21" s="10" t="s">
        <v>27</v>
      </c>
      <c r="E21" s="4">
        <v>292.5</v>
      </c>
      <c r="F21" s="3">
        <v>64</v>
      </c>
      <c r="G21" s="4">
        <f t="shared" si="0"/>
        <v>18720</v>
      </c>
      <c r="H21" s="4">
        <v>2091.42</v>
      </c>
      <c r="I21" s="9" t="s">
        <v>16</v>
      </c>
      <c r="J21" s="9" t="s">
        <v>17</v>
      </c>
      <c r="K21" s="3" t="s">
        <v>33</v>
      </c>
      <c r="L21" s="3">
        <v>16</v>
      </c>
    </row>
    <row r="22" spans="1:12" x14ac:dyDescent="0.25">
      <c r="A22" s="3">
        <v>21</v>
      </c>
      <c r="B22" s="1">
        <v>46130</v>
      </c>
      <c r="C22" s="9" t="s">
        <v>14</v>
      </c>
      <c r="D22" s="10" t="s">
        <v>15</v>
      </c>
      <c r="E22" s="4">
        <v>345.7</v>
      </c>
      <c r="F22" s="3">
        <v>98</v>
      </c>
      <c r="G22" s="4">
        <f t="shared" si="0"/>
        <v>33878.6</v>
      </c>
      <c r="H22" s="4">
        <v>7700.14</v>
      </c>
      <c r="I22" s="9" t="s">
        <v>24</v>
      </c>
      <c r="J22" s="9" t="s">
        <v>22</v>
      </c>
      <c r="K22" s="3" t="s">
        <v>33</v>
      </c>
      <c r="L22" s="3">
        <v>16</v>
      </c>
    </row>
    <row r="23" spans="1:12" x14ac:dyDescent="0.25">
      <c r="A23" s="3">
        <v>22</v>
      </c>
      <c r="B23" s="1">
        <v>46132</v>
      </c>
      <c r="C23" s="9" t="s">
        <v>19</v>
      </c>
      <c r="D23" s="10" t="s">
        <v>63</v>
      </c>
      <c r="E23" s="4">
        <v>309.81</v>
      </c>
      <c r="F23" s="3">
        <v>80</v>
      </c>
      <c r="G23" s="4">
        <f t="shared" si="0"/>
        <v>24784.799999999999</v>
      </c>
      <c r="H23" s="4">
        <v>6238.83</v>
      </c>
      <c r="I23" s="9" t="s">
        <v>21</v>
      </c>
      <c r="J23" s="9" t="s">
        <v>22</v>
      </c>
      <c r="K23" s="3" t="s">
        <v>33</v>
      </c>
      <c r="L23" s="3">
        <v>17</v>
      </c>
    </row>
    <row r="24" spans="1:12" x14ac:dyDescent="0.25">
      <c r="A24" s="3">
        <v>23</v>
      </c>
      <c r="B24" s="1">
        <v>46134</v>
      </c>
      <c r="C24" s="9" t="s">
        <v>7</v>
      </c>
      <c r="D24" s="10" t="s">
        <v>52</v>
      </c>
      <c r="E24" s="4">
        <v>198.03</v>
      </c>
      <c r="F24" s="3">
        <v>88</v>
      </c>
      <c r="G24" s="4">
        <f t="shared" si="0"/>
        <v>17426.64</v>
      </c>
      <c r="H24" s="4">
        <v>2102.69</v>
      </c>
      <c r="I24" s="9" t="s">
        <v>8</v>
      </c>
      <c r="J24" s="9" t="s">
        <v>9</v>
      </c>
      <c r="K24" s="3" t="s">
        <v>33</v>
      </c>
      <c r="L24" s="3">
        <v>17</v>
      </c>
    </row>
    <row r="25" spans="1:12" x14ac:dyDescent="0.25">
      <c r="A25" s="3">
        <v>24</v>
      </c>
      <c r="B25" s="1">
        <v>46147</v>
      </c>
      <c r="C25" s="9" t="s">
        <v>11</v>
      </c>
      <c r="D25" s="10" t="s">
        <v>27</v>
      </c>
      <c r="E25" s="4">
        <v>398.97</v>
      </c>
      <c r="F25" s="3">
        <v>84</v>
      </c>
      <c r="G25" s="4">
        <f t="shared" si="0"/>
        <v>33513.480000000003</v>
      </c>
      <c r="H25" s="4">
        <v>8721.85</v>
      </c>
      <c r="I25" s="9" t="s">
        <v>13</v>
      </c>
      <c r="J25" s="9" t="s">
        <v>9</v>
      </c>
      <c r="K25" s="3" t="s">
        <v>35</v>
      </c>
      <c r="L25" s="3">
        <v>19</v>
      </c>
    </row>
    <row r="26" spans="1:12" x14ac:dyDescent="0.25">
      <c r="A26" s="3">
        <v>25</v>
      </c>
      <c r="B26" s="1">
        <v>46149</v>
      </c>
      <c r="C26" s="9" t="s">
        <v>14</v>
      </c>
      <c r="D26" s="10" t="s">
        <v>52</v>
      </c>
      <c r="E26" s="4">
        <v>79.510000000000005</v>
      </c>
      <c r="F26" s="3">
        <v>19</v>
      </c>
      <c r="G26" s="4">
        <f t="shared" si="0"/>
        <v>1510.69</v>
      </c>
      <c r="H26" s="4">
        <v>319.61</v>
      </c>
      <c r="I26" s="9" t="s">
        <v>16</v>
      </c>
      <c r="J26" s="9" t="s">
        <v>17</v>
      </c>
      <c r="K26" s="3" t="s">
        <v>35</v>
      </c>
      <c r="L26" s="3">
        <v>19</v>
      </c>
    </row>
    <row r="27" spans="1:12" x14ac:dyDescent="0.25">
      <c r="A27" s="3">
        <v>26</v>
      </c>
      <c r="B27" s="1">
        <v>46151</v>
      </c>
      <c r="C27" s="9" t="s">
        <v>19</v>
      </c>
      <c r="D27" s="10" t="s">
        <v>34</v>
      </c>
      <c r="E27" s="4">
        <v>110.28</v>
      </c>
      <c r="F27" s="3">
        <v>71</v>
      </c>
      <c r="G27" s="4">
        <f t="shared" si="0"/>
        <v>7829.88</v>
      </c>
      <c r="H27" s="4">
        <v>1101.8399999999999</v>
      </c>
      <c r="I27" s="9" t="s">
        <v>18</v>
      </c>
      <c r="J27" s="9" t="s">
        <v>17</v>
      </c>
      <c r="K27" s="3" t="s">
        <v>35</v>
      </c>
      <c r="L27" s="3">
        <v>19</v>
      </c>
    </row>
    <row r="28" spans="1:12" x14ac:dyDescent="0.25">
      <c r="A28" s="3">
        <v>27</v>
      </c>
      <c r="B28" s="1">
        <v>46153</v>
      </c>
      <c r="C28" s="9" t="s">
        <v>7</v>
      </c>
      <c r="D28" s="10" t="s">
        <v>26</v>
      </c>
      <c r="E28" s="4">
        <v>243.37</v>
      </c>
      <c r="F28" s="3">
        <v>26</v>
      </c>
      <c r="G28" s="4">
        <f t="shared" si="0"/>
        <v>6327.62</v>
      </c>
      <c r="H28" s="4">
        <v>667.86</v>
      </c>
      <c r="I28" s="9" t="s">
        <v>54</v>
      </c>
      <c r="J28" s="9" t="s">
        <v>17</v>
      </c>
      <c r="K28" s="3" t="s">
        <v>35</v>
      </c>
      <c r="L28" s="3">
        <v>20</v>
      </c>
    </row>
    <row r="29" spans="1:12" x14ac:dyDescent="0.25">
      <c r="A29" s="3">
        <v>28</v>
      </c>
      <c r="B29" s="1">
        <v>46155</v>
      </c>
      <c r="C29" s="9" t="s">
        <v>11</v>
      </c>
      <c r="D29" s="10" t="s">
        <v>68</v>
      </c>
      <c r="E29" s="4">
        <v>395.39</v>
      </c>
      <c r="F29" s="3">
        <v>84</v>
      </c>
      <c r="G29" s="4">
        <f t="shared" si="0"/>
        <v>33212.76</v>
      </c>
      <c r="H29" s="4">
        <v>9620.9599999999991</v>
      </c>
      <c r="I29" s="9" t="s">
        <v>24</v>
      </c>
      <c r="J29" s="9" t="s">
        <v>22</v>
      </c>
      <c r="K29" s="3" t="s">
        <v>35</v>
      </c>
      <c r="L29" s="3">
        <v>20</v>
      </c>
    </row>
    <row r="30" spans="1:12" x14ac:dyDescent="0.25">
      <c r="A30" s="3">
        <v>29</v>
      </c>
      <c r="B30" s="1">
        <v>46157</v>
      </c>
      <c r="C30" s="9" t="s">
        <v>14</v>
      </c>
      <c r="D30" s="10" t="s">
        <v>66</v>
      </c>
      <c r="E30" s="4">
        <v>366.38</v>
      </c>
      <c r="F30" s="3">
        <v>23</v>
      </c>
      <c r="G30" s="4">
        <f t="shared" si="0"/>
        <v>8426.74</v>
      </c>
      <c r="H30" s="4">
        <v>1293.47</v>
      </c>
      <c r="I30" s="9" t="s">
        <v>21</v>
      </c>
      <c r="J30" s="9" t="s">
        <v>22</v>
      </c>
      <c r="K30" s="3" t="s">
        <v>35</v>
      </c>
      <c r="L30" s="3">
        <v>20</v>
      </c>
    </row>
    <row r="31" spans="1:12" x14ac:dyDescent="0.25">
      <c r="A31" s="3">
        <v>30</v>
      </c>
      <c r="B31" s="1">
        <v>46159</v>
      </c>
      <c r="C31" s="9" t="s">
        <v>19</v>
      </c>
      <c r="D31" s="10" t="s">
        <v>52</v>
      </c>
      <c r="E31" s="4">
        <v>144.77000000000001</v>
      </c>
      <c r="F31" s="3">
        <v>7</v>
      </c>
      <c r="G31" s="4">
        <f t="shared" si="0"/>
        <v>1013.3900000000001</v>
      </c>
      <c r="H31" s="4">
        <v>181.81</v>
      </c>
      <c r="I31" s="9" t="s">
        <v>8</v>
      </c>
      <c r="J31" s="9" t="s">
        <v>9</v>
      </c>
      <c r="K31" s="3" t="s">
        <v>35</v>
      </c>
      <c r="L31" s="3">
        <v>20</v>
      </c>
    </row>
    <row r="32" spans="1:12" x14ac:dyDescent="0.25">
      <c r="A32" s="3">
        <v>31</v>
      </c>
      <c r="B32" s="1">
        <v>46161</v>
      </c>
      <c r="C32" s="9" t="s">
        <v>7</v>
      </c>
      <c r="D32" s="10" t="s">
        <v>27</v>
      </c>
      <c r="E32" s="4">
        <v>394.39</v>
      </c>
      <c r="F32" s="3">
        <v>25</v>
      </c>
      <c r="G32" s="4">
        <f t="shared" si="0"/>
        <v>9859.75</v>
      </c>
      <c r="H32" s="4">
        <v>2470.4499999999998</v>
      </c>
      <c r="I32" s="9" t="s">
        <v>13</v>
      </c>
      <c r="J32" s="9" t="s">
        <v>9</v>
      </c>
      <c r="K32" s="3" t="s">
        <v>35</v>
      </c>
      <c r="L32" s="3">
        <v>21</v>
      </c>
    </row>
    <row r="33" spans="1:12" x14ac:dyDescent="0.25">
      <c r="A33" s="3">
        <v>32</v>
      </c>
      <c r="B33" s="1">
        <v>46163</v>
      </c>
      <c r="C33" s="9" t="s">
        <v>11</v>
      </c>
      <c r="D33" s="10" t="s">
        <v>20</v>
      </c>
      <c r="E33" s="4">
        <v>16.510000000000002</v>
      </c>
      <c r="F33" s="3">
        <v>83</v>
      </c>
      <c r="G33" s="4">
        <f t="shared" si="0"/>
        <v>1370.3300000000002</v>
      </c>
      <c r="H33" s="4">
        <v>372.32</v>
      </c>
      <c r="I33" s="9" t="s">
        <v>16</v>
      </c>
      <c r="J33" s="9" t="s">
        <v>17</v>
      </c>
      <c r="K33" s="3" t="s">
        <v>35</v>
      </c>
      <c r="L33" s="3">
        <v>21</v>
      </c>
    </row>
    <row r="34" spans="1:12" x14ac:dyDescent="0.25">
      <c r="A34" s="3">
        <v>33</v>
      </c>
      <c r="B34" s="1">
        <v>46165</v>
      </c>
      <c r="C34" s="9" t="s">
        <v>14</v>
      </c>
      <c r="D34" s="10" t="s">
        <v>65</v>
      </c>
      <c r="E34" s="4">
        <v>245.98</v>
      </c>
      <c r="F34" s="3">
        <v>5</v>
      </c>
      <c r="G34" s="4">
        <f t="shared" si="0"/>
        <v>1229.8999999999999</v>
      </c>
      <c r="H34" s="4">
        <v>216.79</v>
      </c>
      <c r="I34" s="9" t="s">
        <v>18</v>
      </c>
      <c r="J34" s="9" t="s">
        <v>17</v>
      </c>
      <c r="K34" s="3" t="s">
        <v>35</v>
      </c>
      <c r="L34" s="3">
        <v>21</v>
      </c>
    </row>
    <row r="35" spans="1:12" x14ac:dyDescent="0.25">
      <c r="A35" s="3">
        <v>34</v>
      </c>
      <c r="B35" s="1">
        <v>46167</v>
      </c>
      <c r="C35" s="9" t="s">
        <v>19</v>
      </c>
      <c r="D35" s="10" t="s">
        <v>23</v>
      </c>
      <c r="E35" s="4">
        <v>8.59</v>
      </c>
      <c r="F35" s="3">
        <v>40</v>
      </c>
      <c r="G35" s="4">
        <f t="shared" si="0"/>
        <v>343.6</v>
      </c>
      <c r="H35" s="4">
        <v>38.68</v>
      </c>
      <c r="I35" s="9" t="s">
        <v>16</v>
      </c>
      <c r="J35" s="9" t="s">
        <v>17</v>
      </c>
      <c r="K35" s="3" t="s">
        <v>35</v>
      </c>
      <c r="L35" s="3">
        <v>22</v>
      </c>
    </row>
    <row r="36" spans="1:12" x14ac:dyDescent="0.25">
      <c r="A36" s="3">
        <v>35</v>
      </c>
      <c r="B36" s="1">
        <v>46169</v>
      </c>
      <c r="C36" s="9" t="s">
        <v>7</v>
      </c>
      <c r="D36" s="10" t="s">
        <v>12</v>
      </c>
      <c r="E36" s="4">
        <v>216.97</v>
      </c>
      <c r="F36" s="3">
        <v>41</v>
      </c>
      <c r="G36" s="4">
        <f t="shared" si="0"/>
        <v>8895.77</v>
      </c>
      <c r="H36" s="4">
        <v>988.29</v>
      </c>
      <c r="I36" s="9" t="s">
        <v>24</v>
      </c>
      <c r="J36" s="9" t="s">
        <v>22</v>
      </c>
      <c r="K36" s="3" t="s">
        <v>35</v>
      </c>
      <c r="L36" s="3">
        <v>22</v>
      </c>
    </row>
    <row r="37" spans="1:12" x14ac:dyDescent="0.25">
      <c r="A37" s="3">
        <v>36</v>
      </c>
      <c r="B37" s="1">
        <v>46171</v>
      </c>
      <c r="C37" s="9" t="s">
        <v>11</v>
      </c>
      <c r="D37" s="10" t="s">
        <v>28</v>
      </c>
      <c r="E37" s="4">
        <v>154.37</v>
      </c>
      <c r="F37" s="3">
        <v>42</v>
      </c>
      <c r="G37" s="4">
        <f t="shared" si="0"/>
        <v>6483.54</v>
      </c>
      <c r="H37" s="4">
        <v>1756.56</v>
      </c>
      <c r="I37" s="9" t="s">
        <v>21</v>
      </c>
      <c r="J37" s="9" t="s">
        <v>22</v>
      </c>
      <c r="K37" s="3" t="s">
        <v>35</v>
      </c>
      <c r="L37" s="3">
        <v>22</v>
      </c>
    </row>
    <row r="38" spans="1:12" x14ac:dyDescent="0.25">
      <c r="A38" s="3">
        <v>37</v>
      </c>
      <c r="B38" s="1">
        <v>46174</v>
      </c>
      <c r="C38" s="9" t="s">
        <v>14</v>
      </c>
      <c r="D38" s="10" t="s">
        <v>60</v>
      </c>
      <c r="E38" s="4">
        <v>133.82</v>
      </c>
      <c r="F38" s="3">
        <v>12</v>
      </c>
      <c r="G38" s="4">
        <f t="shared" si="0"/>
        <v>1605.84</v>
      </c>
      <c r="H38" s="4">
        <v>444.39</v>
      </c>
      <c r="I38" s="9" t="s">
        <v>8</v>
      </c>
      <c r="J38" s="9" t="s">
        <v>9</v>
      </c>
      <c r="K38" s="3" t="s">
        <v>41</v>
      </c>
      <c r="L38" s="3">
        <v>23</v>
      </c>
    </row>
    <row r="39" spans="1:12" x14ac:dyDescent="0.25">
      <c r="A39" s="3">
        <v>38</v>
      </c>
      <c r="B39" s="1">
        <v>46176</v>
      </c>
      <c r="C39" s="9" t="s">
        <v>19</v>
      </c>
      <c r="D39" s="10" t="s">
        <v>28</v>
      </c>
      <c r="E39" s="4">
        <v>62.17</v>
      </c>
      <c r="F39" s="3">
        <v>38</v>
      </c>
      <c r="G39" s="4">
        <f t="shared" si="0"/>
        <v>2362.46</v>
      </c>
      <c r="H39" s="4">
        <v>456</v>
      </c>
      <c r="I39" s="9" t="s">
        <v>13</v>
      </c>
      <c r="J39" s="9" t="s">
        <v>9</v>
      </c>
      <c r="K39" s="3" t="s">
        <v>41</v>
      </c>
      <c r="L39" s="3">
        <v>23</v>
      </c>
    </row>
    <row r="40" spans="1:12" x14ac:dyDescent="0.25">
      <c r="A40" s="3">
        <v>39</v>
      </c>
      <c r="B40" s="1">
        <v>46178</v>
      </c>
      <c r="C40" s="9" t="s">
        <v>7</v>
      </c>
      <c r="D40" s="10" t="s">
        <v>68</v>
      </c>
      <c r="E40" s="4">
        <v>489.76</v>
      </c>
      <c r="F40" s="3">
        <v>34</v>
      </c>
      <c r="G40" s="4">
        <f t="shared" si="0"/>
        <v>16651.84</v>
      </c>
      <c r="H40" s="4">
        <v>4086.81</v>
      </c>
      <c r="I40" s="9" t="s">
        <v>16</v>
      </c>
      <c r="J40" s="9" t="s">
        <v>17</v>
      </c>
      <c r="K40" s="3" t="s">
        <v>41</v>
      </c>
      <c r="L40" s="3">
        <v>23</v>
      </c>
    </row>
    <row r="41" spans="1:12" x14ac:dyDescent="0.25">
      <c r="A41" s="3">
        <v>40</v>
      </c>
      <c r="B41" s="1">
        <v>46180</v>
      </c>
      <c r="C41" s="9" t="s">
        <v>11</v>
      </c>
      <c r="D41" s="10" t="s">
        <v>27</v>
      </c>
      <c r="E41" s="4">
        <v>82.51</v>
      </c>
      <c r="F41" s="3">
        <v>70</v>
      </c>
      <c r="G41" s="4">
        <f t="shared" si="0"/>
        <v>5775.7000000000007</v>
      </c>
      <c r="H41" s="4">
        <v>819.48</v>
      </c>
      <c r="I41" s="9" t="s">
        <v>80</v>
      </c>
      <c r="J41" s="9" t="s">
        <v>9</v>
      </c>
      <c r="K41" s="3" t="s">
        <v>41</v>
      </c>
      <c r="L41" s="3">
        <v>23</v>
      </c>
    </row>
    <row r="42" spans="1:12" x14ac:dyDescent="0.25">
      <c r="A42" s="3">
        <v>41</v>
      </c>
      <c r="B42" s="1">
        <v>46182</v>
      </c>
      <c r="C42" s="9" t="s">
        <v>14</v>
      </c>
      <c r="D42" s="10" t="s">
        <v>28</v>
      </c>
      <c r="E42" s="4">
        <v>456.74</v>
      </c>
      <c r="F42" s="3">
        <v>22</v>
      </c>
      <c r="G42" s="4">
        <f t="shared" si="0"/>
        <v>10048.280000000001</v>
      </c>
      <c r="H42" s="4">
        <v>2509.0500000000002</v>
      </c>
      <c r="I42" s="9" t="s">
        <v>16</v>
      </c>
      <c r="J42" s="9" t="s">
        <v>17</v>
      </c>
      <c r="K42" s="3" t="s">
        <v>41</v>
      </c>
      <c r="L42" s="3">
        <v>24</v>
      </c>
    </row>
    <row r="43" spans="1:12" x14ac:dyDescent="0.25">
      <c r="A43" s="3">
        <v>42</v>
      </c>
      <c r="B43" s="1">
        <v>46183</v>
      </c>
      <c r="C43" s="9" t="s">
        <v>19</v>
      </c>
      <c r="D43" s="10" t="s">
        <v>23</v>
      </c>
      <c r="E43" s="4">
        <v>105.66</v>
      </c>
      <c r="F43" s="3">
        <v>83</v>
      </c>
      <c r="G43" s="4">
        <f t="shared" si="0"/>
        <v>8769.7799999999988</v>
      </c>
      <c r="H43" s="4">
        <v>1866.03</v>
      </c>
      <c r="I43" s="9" t="s">
        <v>24</v>
      </c>
      <c r="J43" s="9" t="s">
        <v>22</v>
      </c>
      <c r="K43" s="3" t="s">
        <v>41</v>
      </c>
      <c r="L43" s="3">
        <v>24</v>
      </c>
    </row>
    <row r="44" spans="1:12" x14ac:dyDescent="0.25">
      <c r="A44" s="3">
        <v>43</v>
      </c>
      <c r="B44" s="1">
        <v>46185</v>
      </c>
      <c r="C44" s="9" t="s">
        <v>7</v>
      </c>
      <c r="D44" s="10" t="s">
        <v>23</v>
      </c>
      <c r="E44" s="4">
        <v>297.55</v>
      </c>
      <c r="F44" s="3">
        <v>31</v>
      </c>
      <c r="G44" s="4">
        <f t="shared" si="0"/>
        <v>9224.0500000000011</v>
      </c>
      <c r="H44" s="4">
        <v>974.28</v>
      </c>
      <c r="I44" s="9" t="s">
        <v>21</v>
      </c>
      <c r="J44" s="9" t="s">
        <v>22</v>
      </c>
      <c r="K44" s="3" t="s">
        <v>41</v>
      </c>
      <c r="L44" s="3">
        <v>24</v>
      </c>
    </row>
    <row r="45" spans="1:12" x14ac:dyDescent="0.25">
      <c r="A45" s="3">
        <v>44</v>
      </c>
      <c r="B45" s="1">
        <v>46187</v>
      </c>
      <c r="C45" s="9" t="s">
        <v>11</v>
      </c>
      <c r="D45" s="10" t="s">
        <v>12</v>
      </c>
      <c r="E45" s="4">
        <v>9.6999999999999993</v>
      </c>
      <c r="F45" s="3">
        <v>93</v>
      </c>
      <c r="G45" s="4">
        <f t="shared" si="0"/>
        <v>902.09999999999991</v>
      </c>
      <c r="H45" s="4">
        <v>207.12</v>
      </c>
      <c r="I45" s="9" t="s">
        <v>8</v>
      </c>
      <c r="J45" s="9" t="s">
        <v>9</v>
      </c>
      <c r="K45" s="3" t="s">
        <v>41</v>
      </c>
      <c r="L45" s="3">
        <v>24</v>
      </c>
    </row>
    <row r="46" spans="1:12" x14ac:dyDescent="0.25">
      <c r="A46" s="3">
        <v>45</v>
      </c>
      <c r="B46" s="1">
        <v>46189</v>
      </c>
      <c r="C46" s="9" t="s">
        <v>14</v>
      </c>
      <c r="D46" s="10" t="s">
        <v>30</v>
      </c>
      <c r="E46" s="4">
        <v>217.66</v>
      </c>
      <c r="F46" s="3">
        <v>85</v>
      </c>
      <c r="G46" s="4">
        <f t="shared" si="0"/>
        <v>18501.099999999999</v>
      </c>
      <c r="H46" s="4">
        <v>5303.18</v>
      </c>
      <c r="I46" s="9" t="s">
        <v>13</v>
      </c>
      <c r="J46" s="9" t="s">
        <v>9</v>
      </c>
      <c r="K46" s="3" t="s">
        <v>41</v>
      </c>
      <c r="L46" s="3">
        <v>25</v>
      </c>
    </row>
    <row r="47" spans="1:12" x14ac:dyDescent="0.25">
      <c r="A47" s="3">
        <v>46</v>
      </c>
      <c r="B47" s="1">
        <v>46191</v>
      </c>
      <c r="C47" s="9" t="s">
        <v>19</v>
      </c>
      <c r="D47" s="10" t="s">
        <v>23</v>
      </c>
      <c r="E47" s="4">
        <v>424.73</v>
      </c>
      <c r="F47" s="3">
        <v>64</v>
      </c>
      <c r="G47" s="4">
        <f t="shared" si="0"/>
        <v>27182.720000000001</v>
      </c>
      <c r="H47" s="4">
        <v>4546.59</v>
      </c>
      <c r="I47" s="9" t="s">
        <v>77</v>
      </c>
      <c r="J47" s="9" t="s">
        <v>9</v>
      </c>
      <c r="K47" s="3" t="s">
        <v>41</v>
      </c>
      <c r="L47" s="3">
        <v>25</v>
      </c>
    </row>
    <row r="48" spans="1:12" x14ac:dyDescent="0.25">
      <c r="A48" s="3">
        <v>47</v>
      </c>
      <c r="B48" s="1">
        <v>46193</v>
      </c>
      <c r="C48" s="9" t="s">
        <v>7</v>
      </c>
      <c r="D48" s="10" t="s">
        <v>69</v>
      </c>
      <c r="E48" s="4">
        <v>250.93</v>
      </c>
      <c r="F48" s="3">
        <v>52</v>
      </c>
      <c r="G48" s="4">
        <f t="shared" si="0"/>
        <v>13048.36</v>
      </c>
      <c r="H48" s="4">
        <v>2802.37</v>
      </c>
      <c r="I48" s="9" t="s">
        <v>18</v>
      </c>
      <c r="J48" s="9" t="s">
        <v>17</v>
      </c>
      <c r="K48" s="3" t="s">
        <v>41</v>
      </c>
      <c r="L48" s="3">
        <v>25</v>
      </c>
    </row>
    <row r="49" spans="1:12" x14ac:dyDescent="0.25">
      <c r="A49" s="3">
        <v>48</v>
      </c>
      <c r="B49" s="1">
        <v>46195</v>
      </c>
      <c r="C49" s="9" t="s">
        <v>11</v>
      </c>
      <c r="D49" s="10" t="s">
        <v>68</v>
      </c>
      <c r="E49" s="4">
        <v>340.54</v>
      </c>
      <c r="F49" s="3">
        <v>60</v>
      </c>
      <c r="G49" s="4">
        <f t="shared" si="0"/>
        <v>20432.400000000001</v>
      </c>
      <c r="H49" s="4">
        <v>3880.07</v>
      </c>
      <c r="I49" s="9" t="s">
        <v>16</v>
      </c>
      <c r="J49" s="9" t="s">
        <v>17</v>
      </c>
      <c r="K49" s="3" t="s">
        <v>41</v>
      </c>
      <c r="L49" s="3">
        <v>26</v>
      </c>
    </row>
    <row r="50" spans="1:12" x14ac:dyDescent="0.25">
      <c r="A50" s="3">
        <v>49</v>
      </c>
      <c r="B50" s="1">
        <v>46197</v>
      </c>
      <c r="C50" s="9" t="s">
        <v>7</v>
      </c>
      <c r="D50" s="10" t="s">
        <v>68</v>
      </c>
      <c r="E50" s="4">
        <v>205.69</v>
      </c>
      <c r="F50" s="3">
        <v>23</v>
      </c>
      <c r="G50" s="4">
        <f t="shared" si="0"/>
        <v>4730.87</v>
      </c>
      <c r="H50" s="4">
        <v>770.78</v>
      </c>
      <c r="I50" s="9" t="s">
        <v>24</v>
      </c>
      <c r="J50" s="9" t="s">
        <v>22</v>
      </c>
      <c r="K50" s="3" t="s">
        <v>41</v>
      </c>
      <c r="L50" s="3">
        <v>26</v>
      </c>
    </row>
    <row r="51" spans="1:12" x14ac:dyDescent="0.25">
      <c r="A51" s="3">
        <v>50</v>
      </c>
      <c r="B51" s="1">
        <v>46199</v>
      </c>
      <c r="C51" s="9" t="s">
        <v>11</v>
      </c>
      <c r="D51" s="10" t="s">
        <v>52</v>
      </c>
      <c r="E51" s="4">
        <v>355.06</v>
      </c>
      <c r="F51" s="3">
        <v>60</v>
      </c>
      <c r="G51" s="4">
        <f t="shared" si="0"/>
        <v>21303.599999999999</v>
      </c>
      <c r="H51" s="4">
        <v>4040.29</v>
      </c>
      <c r="I51" s="9" t="s">
        <v>21</v>
      </c>
      <c r="J51" s="9" t="s">
        <v>22</v>
      </c>
      <c r="K51" s="3" t="s">
        <v>41</v>
      </c>
      <c r="L51" s="3">
        <v>26</v>
      </c>
    </row>
    <row r="52" spans="1:12" x14ac:dyDescent="0.25">
      <c r="A52" s="3">
        <v>51</v>
      </c>
      <c r="B52" s="1">
        <v>46204</v>
      </c>
      <c r="C52" s="9" t="s">
        <v>14</v>
      </c>
      <c r="D52" s="10" t="s">
        <v>15</v>
      </c>
      <c r="E52" s="4">
        <v>47.9</v>
      </c>
      <c r="F52" s="3">
        <v>3</v>
      </c>
      <c r="G52" s="4">
        <f t="shared" si="0"/>
        <v>143.69999999999999</v>
      </c>
      <c r="H52" s="4">
        <v>35.200000000000003</v>
      </c>
      <c r="I52" s="9" t="s">
        <v>77</v>
      </c>
      <c r="J52" s="9" t="s">
        <v>9</v>
      </c>
      <c r="K52" s="3" t="s">
        <v>51</v>
      </c>
      <c r="L52" s="3">
        <v>27</v>
      </c>
    </row>
    <row r="53" spans="1:12" x14ac:dyDescent="0.25">
      <c r="A53" s="3">
        <v>52</v>
      </c>
      <c r="B53" s="1">
        <v>46206</v>
      </c>
      <c r="C53" s="9" t="s">
        <v>7</v>
      </c>
      <c r="D53" s="10" t="s">
        <v>69</v>
      </c>
      <c r="E53" s="4">
        <v>154.86000000000001</v>
      </c>
      <c r="F53" s="3">
        <v>95</v>
      </c>
      <c r="G53" s="4">
        <f t="shared" si="0"/>
        <v>14711.7</v>
      </c>
      <c r="H53" s="4">
        <v>3263.14</v>
      </c>
      <c r="I53" s="9" t="s">
        <v>18</v>
      </c>
      <c r="J53" s="9" t="s">
        <v>17</v>
      </c>
      <c r="K53" s="3" t="s">
        <v>51</v>
      </c>
      <c r="L53" s="3">
        <v>27</v>
      </c>
    </row>
    <row r="54" spans="1:12" x14ac:dyDescent="0.25">
      <c r="A54" s="3">
        <v>53</v>
      </c>
      <c r="B54" s="1">
        <v>46208</v>
      </c>
      <c r="C54" s="9" t="s">
        <v>11</v>
      </c>
      <c r="D54" s="10" t="s">
        <v>64</v>
      </c>
      <c r="E54" s="4">
        <v>124.48</v>
      </c>
      <c r="F54" s="3">
        <v>100</v>
      </c>
      <c r="G54" s="4">
        <f t="shared" si="0"/>
        <v>12448</v>
      </c>
      <c r="H54" s="4">
        <v>1583.47</v>
      </c>
      <c r="I54" s="9" t="s">
        <v>18</v>
      </c>
      <c r="J54" s="9" t="s">
        <v>17</v>
      </c>
      <c r="K54" s="3" t="s">
        <v>51</v>
      </c>
      <c r="L54" s="3">
        <v>27</v>
      </c>
    </row>
    <row r="55" spans="1:12" x14ac:dyDescent="0.25">
      <c r="A55" s="3">
        <v>54</v>
      </c>
      <c r="B55" s="1">
        <v>46210</v>
      </c>
      <c r="C55" s="9" t="s">
        <v>14</v>
      </c>
      <c r="D55" s="10" t="s">
        <v>15</v>
      </c>
      <c r="E55" s="4">
        <v>455.65</v>
      </c>
      <c r="F55" s="3">
        <v>7</v>
      </c>
      <c r="G55" s="4">
        <f t="shared" si="0"/>
        <v>3189.5499999999997</v>
      </c>
      <c r="H55" s="4">
        <v>733.81</v>
      </c>
      <c r="I55" s="9" t="s">
        <v>80</v>
      </c>
      <c r="J55" s="9" t="s">
        <v>9</v>
      </c>
      <c r="K55" s="3" t="s">
        <v>51</v>
      </c>
      <c r="L55" s="3">
        <v>28</v>
      </c>
    </row>
    <row r="56" spans="1:12" x14ac:dyDescent="0.25">
      <c r="A56" s="3">
        <v>55</v>
      </c>
      <c r="B56" s="1">
        <v>46212</v>
      </c>
      <c r="C56" s="9" t="s">
        <v>19</v>
      </c>
      <c r="D56" s="10" t="s">
        <v>27</v>
      </c>
      <c r="E56" s="4">
        <v>116.49</v>
      </c>
      <c r="F56" s="3">
        <v>74</v>
      </c>
      <c r="G56" s="4">
        <f t="shared" si="0"/>
        <v>8620.26</v>
      </c>
      <c r="H56" s="4">
        <v>2218.9499999999998</v>
      </c>
      <c r="I56" s="9" t="s">
        <v>18</v>
      </c>
      <c r="J56" s="9" t="s">
        <v>17</v>
      </c>
      <c r="K56" s="3" t="s">
        <v>51</v>
      </c>
      <c r="L56" s="3">
        <v>28</v>
      </c>
    </row>
    <row r="57" spans="1:12" x14ac:dyDescent="0.25">
      <c r="A57" s="3">
        <v>56</v>
      </c>
      <c r="B57" s="1">
        <v>46214</v>
      </c>
      <c r="C57" s="9" t="s">
        <v>7</v>
      </c>
      <c r="D57" s="10" t="s">
        <v>63</v>
      </c>
      <c r="E57" s="4">
        <v>388.59</v>
      </c>
      <c r="F57" s="3">
        <v>27</v>
      </c>
      <c r="G57" s="4">
        <f t="shared" si="0"/>
        <v>10491.929999999998</v>
      </c>
      <c r="H57" s="4">
        <v>2943.5</v>
      </c>
      <c r="I57" s="9" t="s">
        <v>16</v>
      </c>
      <c r="J57" s="9" t="s">
        <v>17</v>
      </c>
      <c r="K57" s="3" t="s">
        <v>51</v>
      </c>
      <c r="L57" s="3">
        <v>28</v>
      </c>
    </row>
    <row r="58" spans="1:12" x14ac:dyDescent="0.25">
      <c r="A58" s="3">
        <v>57</v>
      </c>
      <c r="B58" s="1">
        <v>46216</v>
      </c>
      <c r="C58" s="9" t="s">
        <v>11</v>
      </c>
      <c r="D58" s="10" t="s">
        <v>27</v>
      </c>
      <c r="E58" s="4">
        <v>118.31</v>
      </c>
      <c r="F58" s="3">
        <v>53</v>
      </c>
      <c r="G58" s="4">
        <f t="shared" si="0"/>
        <v>6270.43</v>
      </c>
      <c r="H58" s="4">
        <v>1695.73</v>
      </c>
      <c r="I58" s="9" t="s">
        <v>84</v>
      </c>
      <c r="J58" s="9" t="s">
        <v>17</v>
      </c>
      <c r="K58" s="3" t="s">
        <v>51</v>
      </c>
      <c r="L58" s="3">
        <v>29</v>
      </c>
    </row>
    <row r="59" spans="1:12" x14ac:dyDescent="0.25">
      <c r="A59" s="3">
        <v>58</v>
      </c>
      <c r="B59" s="1">
        <v>46218</v>
      </c>
      <c r="C59" s="9" t="s">
        <v>14</v>
      </c>
      <c r="D59" s="10" t="s">
        <v>26</v>
      </c>
      <c r="E59" s="4">
        <v>435.09</v>
      </c>
      <c r="F59" s="3">
        <v>80</v>
      </c>
      <c r="G59" s="4">
        <f t="shared" si="0"/>
        <v>34807.199999999997</v>
      </c>
      <c r="H59" s="4">
        <v>8272.34</v>
      </c>
      <c r="I59" s="9" t="s">
        <v>18</v>
      </c>
      <c r="J59" s="9" t="s">
        <v>17</v>
      </c>
      <c r="K59" s="3" t="s">
        <v>51</v>
      </c>
      <c r="L59" s="3">
        <v>29</v>
      </c>
    </row>
    <row r="60" spans="1:12" x14ac:dyDescent="0.25">
      <c r="A60" s="3">
        <v>59</v>
      </c>
      <c r="B60" s="1">
        <v>46220</v>
      </c>
      <c r="C60" s="9" t="s">
        <v>19</v>
      </c>
      <c r="D60" s="10" t="s">
        <v>60</v>
      </c>
      <c r="E60" s="4">
        <v>211.04</v>
      </c>
      <c r="F60" s="3">
        <v>30</v>
      </c>
      <c r="G60" s="4">
        <f t="shared" si="0"/>
        <v>6331.2</v>
      </c>
      <c r="H60" s="4">
        <v>1001.46</v>
      </c>
      <c r="I60" s="9" t="s">
        <v>18</v>
      </c>
      <c r="J60" s="9" t="s">
        <v>17</v>
      </c>
      <c r="K60" s="3" t="s">
        <v>51</v>
      </c>
      <c r="L60" s="3">
        <v>29</v>
      </c>
    </row>
    <row r="61" spans="1:12" x14ac:dyDescent="0.25">
      <c r="A61" s="3">
        <v>60</v>
      </c>
      <c r="B61" s="1">
        <v>46222</v>
      </c>
      <c r="C61" s="9" t="s">
        <v>7</v>
      </c>
      <c r="D61" s="10" t="s">
        <v>12</v>
      </c>
      <c r="E61" s="4">
        <v>444.11</v>
      </c>
      <c r="F61" s="3">
        <v>54</v>
      </c>
      <c r="G61" s="4">
        <f t="shared" si="0"/>
        <v>23981.940000000002</v>
      </c>
      <c r="H61" s="4">
        <v>3183.02</v>
      </c>
      <c r="I61" s="9" t="s">
        <v>78</v>
      </c>
      <c r="J61" s="9" t="s">
        <v>9</v>
      </c>
      <c r="K61" s="3" t="s">
        <v>51</v>
      </c>
      <c r="L61" s="3">
        <v>29</v>
      </c>
    </row>
    <row r="62" spans="1:12" x14ac:dyDescent="0.25">
      <c r="A62" s="3">
        <v>61</v>
      </c>
      <c r="B62" s="1">
        <v>46224</v>
      </c>
      <c r="C62" s="9" t="s">
        <v>14</v>
      </c>
      <c r="D62" s="10" t="s">
        <v>52</v>
      </c>
      <c r="E62" s="4">
        <v>330.91</v>
      </c>
      <c r="F62" s="3">
        <v>24</v>
      </c>
      <c r="G62" s="4">
        <f t="shared" si="0"/>
        <v>7941.84</v>
      </c>
      <c r="H62" s="4">
        <v>1299.6400000000001</v>
      </c>
      <c r="I62" s="9" t="s">
        <v>18</v>
      </c>
      <c r="J62" s="9" t="s">
        <v>17</v>
      </c>
      <c r="K62" s="3" t="s">
        <v>51</v>
      </c>
      <c r="L62" s="3">
        <v>30</v>
      </c>
    </row>
    <row r="63" spans="1:12" x14ac:dyDescent="0.25">
      <c r="A63" s="3">
        <v>62</v>
      </c>
      <c r="B63" s="1">
        <v>46226</v>
      </c>
      <c r="C63" s="9" t="s">
        <v>19</v>
      </c>
      <c r="D63" s="10" t="s">
        <v>26</v>
      </c>
      <c r="E63" s="4">
        <v>461.53</v>
      </c>
      <c r="F63" s="3">
        <v>46</v>
      </c>
      <c r="G63" s="4">
        <f t="shared" si="0"/>
        <v>21230.379999999997</v>
      </c>
      <c r="H63" s="4">
        <v>2577.8000000000002</v>
      </c>
      <c r="I63" s="9" t="s">
        <v>82</v>
      </c>
      <c r="J63" s="9" t="s">
        <v>81</v>
      </c>
      <c r="K63" s="3" t="s">
        <v>51</v>
      </c>
      <c r="L63" s="3">
        <v>30</v>
      </c>
    </row>
    <row r="64" spans="1:12" x14ac:dyDescent="0.25">
      <c r="A64" s="3">
        <v>63</v>
      </c>
      <c r="B64" s="1">
        <v>46228</v>
      </c>
      <c r="C64" s="9" t="s">
        <v>7</v>
      </c>
      <c r="D64" s="10" t="s">
        <v>15</v>
      </c>
      <c r="E64" s="4">
        <v>202.13</v>
      </c>
      <c r="F64" s="3">
        <v>53</v>
      </c>
      <c r="G64" s="4">
        <f t="shared" si="0"/>
        <v>10712.89</v>
      </c>
      <c r="H64" s="4">
        <v>2000.92</v>
      </c>
      <c r="I64" s="9" t="s">
        <v>83</v>
      </c>
      <c r="J64" s="9" t="s">
        <v>81</v>
      </c>
      <c r="K64" s="3" t="s">
        <v>51</v>
      </c>
      <c r="L64" s="3">
        <v>30</v>
      </c>
    </row>
    <row r="65" spans="1:12" x14ac:dyDescent="0.25">
      <c r="A65" s="3">
        <v>64</v>
      </c>
      <c r="B65" s="1">
        <v>46230</v>
      </c>
      <c r="C65" s="9" t="s">
        <v>11</v>
      </c>
      <c r="D65" s="10" t="s">
        <v>62</v>
      </c>
      <c r="E65" s="4">
        <v>149.88999999999999</v>
      </c>
      <c r="F65" s="3">
        <v>71</v>
      </c>
      <c r="G65" s="4">
        <f t="shared" si="0"/>
        <v>10642.189999999999</v>
      </c>
      <c r="H65" s="4">
        <v>2316.2399999999998</v>
      </c>
      <c r="I65" s="9" t="s">
        <v>18</v>
      </c>
      <c r="J65" s="9" t="s">
        <v>17</v>
      </c>
      <c r="K65" s="3" t="s">
        <v>51</v>
      </c>
      <c r="L65" s="3">
        <v>31</v>
      </c>
    </row>
    <row r="66" spans="1:12" x14ac:dyDescent="0.25">
      <c r="A66" s="3">
        <v>65</v>
      </c>
      <c r="B66" s="1">
        <v>46232</v>
      </c>
      <c r="C66" s="9" t="s">
        <v>14</v>
      </c>
      <c r="D66" s="10" t="s">
        <v>12</v>
      </c>
      <c r="E66" s="4">
        <v>329.52</v>
      </c>
      <c r="F66" s="3">
        <v>37</v>
      </c>
      <c r="G66" s="4">
        <f t="shared" si="0"/>
        <v>12192.24</v>
      </c>
      <c r="H66" s="4">
        <v>3391.73</v>
      </c>
      <c r="I66" s="9" t="s">
        <v>18</v>
      </c>
      <c r="J66" s="9" t="s">
        <v>17</v>
      </c>
      <c r="K66" s="3" t="s">
        <v>51</v>
      </c>
      <c r="L66" s="3">
        <v>31</v>
      </c>
    </row>
    <row r="67" spans="1:12" x14ac:dyDescent="0.25">
      <c r="A67" s="3">
        <v>66</v>
      </c>
      <c r="B67" s="1">
        <v>46234</v>
      </c>
      <c r="C67" s="9" t="s">
        <v>40</v>
      </c>
      <c r="D67" s="10" t="s">
        <v>68</v>
      </c>
      <c r="E67" s="4">
        <v>151.63999999999999</v>
      </c>
      <c r="F67" s="3">
        <v>34</v>
      </c>
      <c r="G67" s="4">
        <f t="shared" ref="G67:G101" si="1">E67*F67</f>
        <v>5155.7599999999993</v>
      </c>
      <c r="H67" s="4">
        <v>519.52</v>
      </c>
      <c r="I67" s="9" t="s">
        <v>75</v>
      </c>
      <c r="J67" s="9" t="s">
        <v>9</v>
      </c>
      <c r="K67" s="3" t="s">
        <v>51</v>
      </c>
      <c r="L67" s="3">
        <v>31</v>
      </c>
    </row>
    <row r="68" spans="1:12" x14ac:dyDescent="0.25">
      <c r="A68" s="3">
        <v>67</v>
      </c>
      <c r="B68" s="1">
        <v>46235</v>
      </c>
      <c r="C68" s="9" t="s">
        <v>42</v>
      </c>
      <c r="D68" s="10" t="s">
        <v>69</v>
      </c>
      <c r="E68" s="4">
        <v>490</v>
      </c>
      <c r="F68" s="3">
        <v>95</v>
      </c>
      <c r="G68" s="4">
        <f t="shared" si="1"/>
        <v>46550</v>
      </c>
      <c r="H68" s="4">
        <v>6676.33</v>
      </c>
      <c r="I68" s="9" t="s">
        <v>75</v>
      </c>
      <c r="J68" s="9" t="s">
        <v>9</v>
      </c>
      <c r="K68" s="3" t="s">
        <v>53</v>
      </c>
      <c r="L68" s="3">
        <v>31</v>
      </c>
    </row>
    <row r="69" spans="1:12" x14ac:dyDescent="0.25">
      <c r="A69" s="3">
        <v>68</v>
      </c>
      <c r="B69" s="1">
        <v>46237</v>
      </c>
      <c r="C69" s="9" t="s">
        <v>43</v>
      </c>
      <c r="D69" s="10" t="s">
        <v>68</v>
      </c>
      <c r="E69" s="4">
        <v>257.55</v>
      </c>
      <c r="F69" s="3">
        <v>38</v>
      </c>
      <c r="G69" s="4">
        <f t="shared" si="1"/>
        <v>9786.9</v>
      </c>
      <c r="H69" s="4">
        <v>1541.49</v>
      </c>
      <c r="I69" s="9" t="s">
        <v>16</v>
      </c>
      <c r="J69" s="9" t="s">
        <v>17</v>
      </c>
      <c r="K69" s="3" t="s">
        <v>53</v>
      </c>
      <c r="L69" s="3">
        <v>32</v>
      </c>
    </row>
    <row r="70" spans="1:12" x14ac:dyDescent="0.25">
      <c r="A70" s="3">
        <v>69</v>
      </c>
      <c r="B70" s="1">
        <v>46239</v>
      </c>
      <c r="C70" s="9" t="s">
        <v>44</v>
      </c>
      <c r="D70" s="10" t="s">
        <v>65</v>
      </c>
      <c r="E70" s="4">
        <v>442.86</v>
      </c>
      <c r="F70" s="3">
        <v>65</v>
      </c>
      <c r="G70" s="4">
        <f t="shared" si="1"/>
        <v>28785.9</v>
      </c>
      <c r="H70" s="4">
        <v>5660.28</v>
      </c>
      <c r="I70" s="9" t="s">
        <v>18</v>
      </c>
      <c r="J70" s="9" t="s">
        <v>17</v>
      </c>
      <c r="K70" s="3" t="s">
        <v>53</v>
      </c>
      <c r="L70" s="3">
        <v>32</v>
      </c>
    </row>
    <row r="71" spans="1:12" x14ac:dyDescent="0.25">
      <c r="A71" s="3">
        <v>70</v>
      </c>
      <c r="B71" s="1">
        <v>46241</v>
      </c>
      <c r="C71" s="9" t="s">
        <v>45</v>
      </c>
      <c r="D71" s="10" t="s">
        <v>64</v>
      </c>
      <c r="E71" s="4">
        <v>459.77</v>
      </c>
      <c r="F71" s="3">
        <v>64</v>
      </c>
      <c r="G71" s="4">
        <f t="shared" si="1"/>
        <v>29425.279999999999</v>
      </c>
      <c r="H71" s="4">
        <v>8347.85</v>
      </c>
      <c r="I71" s="9" t="s">
        <v>16</v>
      </c>
      <c r="J71" s="9" t="s">
        <v>17</v>
      </c>
      <c r="K71" s="3" t="s">
        <v>53</v>
      </c>
      <c r="L71" s="3">
        <v>32</v>
      </c>
    </row>
    <row r="72" spans="1:12" x14ac:dyDescent="0.25">
      <c r="A72" s="3">
        <v>71</v>
      </c>
      <c r="B72" s="1">
        <v>46266</v>
      </c>
      <c r="C72" s="9" t="s">
        <v>46</v>
      </c>
      <c r="D72" s="10" t="s">
        <v>63</v>
      </c>
      <c r="E72" s="4">
        <v>219.86</v>
      </c>
      <c r="F72" s="3">
        <v>69</v>
      </c>
      <c r="G72" s="4">
        <f t="shared" si="1"/>
        <v>15170.34</v>
      </c>
      <c r="H72" s="4">
        <v>3820.08</v>
      </c>
      <c r="I72" s="9" t="s">
        <v>18</v>
      </c>
      <c r="J72" s="9" t="s">
        <v>17</v>
      </c>
      <c r="K72" s="3" t="s">
        <v>70</v>
      </c>
      <c r="L72" s="3">
        <v>36</v>
      </c>
    </row>
    <row r="73" spans="1:12" x14ac:dyDescent="0.25">
      <c r="A73" s="3">
        <v>72</v>
      </c>
      <c r="B73" s="1">
        <v>46270</v>
      </c>
      <c r="C73" s="9" t="s">
        <v>47</v>
      </c>
      <c r="D73" s="10" t="s">
        <v>26</v>
      </c>
      <c r="E73" s="4">
        <v>308.70999999999998</v>
      </c>
      <c r="F73" s="3">
        <v>10</v>
      </c>
      <c r="G73" s="4">
        <f t="shared" si="1"/>
        <v>3087.1</v>
      </c>
      <c r="H73" s="4">
        <v>655.75</v>
      </c>
      <c r="I73" s="9" t="s">
        <v>16</v>
      </c>
      <c r="J73" s="9" t="s">
        <v>17</v>
      </c>
      <c r="K73" s="3" t="s">
        <v>70</v>
      </c>
      <c r="L73" s="3">
        <v>36</v>
      </c>
    </row>
    <row r="74" spans="1:12" x14ac:dyDescent="0.25">
      <c r="A74" s="3">
        <v>73</v>
      </c>
      <c r="B74" s="1">
        <v>46282</v>
      </c>
      <c r="C74" s="9" t="s">
        <v>37</v>
      </c>
      <c r="D74" s="10" t="s">
        <v>34</v>
      </c>
      <c r="E74" s="4">
        <v>257.07</v>
      </c>
      <c r="F74" s="3">
        <v>32</v>
      </c>
      <c r="G74" s="4">
        <f t="shared" si="1"/>
        <v>8226.24</v>
      </c>
      <c r="H74" s="4">
        <v>2180.14</v>
      </c>
      <c r="I74" s="9" t="s">
        <v>16</v>
      </c>
      <c r="J74" s="9" t="s">
        <v>17</v>
      </c>
      <c r="K74" s="3" t="s">
        <v>70</v>
      </c>
      <c r="L74" s="3">
        <v>38</v>
      </c>
    </row>
    <row r="75" spans="1:12" x14ac:dyDescent="0.25">
      <c r="A75" s="3">
        <v>74</v>
      </c>
      <c r="B75" s="1">
        <v>46284</v>
      </c>
      <c r="C75" s="9" t="s">
        <v>48</v>
      </c>
      <c r="D75" s="10" t="s">
        <v>52</v>
      </c>
      <c r="E75" s="4">
        <v>215.32</v>
      </c>
      <c r="F75" s="3">
        <v>87</v>
      </c>
      <c r="G75" s="4">
        <f t="shared" si="1"/>
        <v>18732.84</v>
      </c>
      <c r="H75" s="4">
        <v>4877.93</v>
      </c>
      <c r="I75" s="9" t="s">
        <v>84</v>
      </c>
      <c r="J75" s="9" t="s">
        <v>17</v>
      </c>
      <c r="K75" s="3" t="s">
        <v>70</v>
      </c>
      <c r="L75" s="3">
        <v>38</v>
      </c>
    </row>
    <row r="76" spans="1:12" x14ac:dyDescent="0.25">
      <c r="A76" s="3">
        <v>75</v>
      </c>
      <c r="B76" s="1">
        <v>46285</v>
      </c>
      <c r="C76" s="9" t="s">
        <v>38</v>
      </c>
      <c r="D76" s="10" t="s">
        <v>27</v>
      </c>
      <c r="E76" s="4">
        <v>398.01</v>
      </c>
      <c r="F76" s="3">
        <v>48</v>
      </c>
      <c r="G76" s="4">
        <f t="shared" si="1"/>
        <v>19104.48</v>
      </c>
      <c r="H76" s="4">
        <v>5575.04</v>
      </c>
      <c r="I76" s="9" t="s">
        <v>18</v>
      </c>
      <c r="J76" s="9" t="s">
        <v>17</v>
      </c>
      <c r="K76" s="3" t="s">
        <v>70</v>
      </c>
      <c r="L76" s="3">
        <v>38</v>
      </c>
    </row>
    <row r="77" spans="1:12" x14ac:dyDescent="0.25">
      <c r="A77" s="3">
        <v>76</v>
      </c>
      <c r="B77" s="1">
        <v>46285</v>
      </c>
      <c r="C77" s="9" t="s">
        <v>49</v>
      </c>
      <c r="D77" s="10" t="s">
        <v>63</v>
      </c>
      <c r="E77" s="4">
        <v>81.41</v>
      </c>
      <c r="F77" s="3">
        <v>48</v>
      </c>
      <c r="G77" s="4">
        <f t="shared" si="1"/>
        <v>3907.68</v>
      </c>
      <c r="H77" s="4">
        <v>405.65</v>
      </c>
      <c r="I77" s="9" t="s">
        <v>78</v>
      </c>
      <c r="J77" s="9" t="s">
        <v>9</v>
      </c>
      <c r="K77" s="3" t="s">
        <v>70</v>
      </c>
      <c r="L77" s="3">
        <v>38</v>
      </c>
    </row>
    <row r="78" spans="1:12" x14ac:dyDescent="0.25">
      <c r="A78" s="3">
        <v>77</v>
      </c>
      <c r="B78" s="1">
        <v>46290</v>
      </c>
      <c r="C78" s="9" t="s">
        <v>50</v>
      </c>
      <c r="D78" s="10" t="s">
        <v>15</v>
      </c>
      <c r="E78" s="4">
        <v>474.08</v>
      </c>
      <c r="F78" s="3">
        <v>43</v>
      </c>
      <c r="G78" s="4">
        <f t="shared" si="1"/>
        <v>20385.439999999999</v>
      </c>
      <c r="H78" s="4">
        <v>4951.41</v>
      </c>
      <c r="I78" s="9" t="s">
        <v>78</v>
      </c>
      <c r="J78" s="9" t="s">
        <v>9</v>
      </c>
      <c r="K78" s="3" t="s">
        <v>70</v>
      </c>
      <c r="L78" s="3">
        <v>39</v>
      </c>
    </row>
    <row r="79" spans="1:12" x14ac:dyDescent="0.25">
      <c r="A79" s="3">
        <v>78</v>
      </c>
      <c r="B79" s="1">
        <v>46290</v>
      </c>
      <c r="C79" s="9" t="s">
        <v>43</v>
      </c>
      <c r="D79" s="10" t="s">
        <v>67</v>
      </c>
      <c r="E79" s="4">
        <v>141.16</v>
      </c>
      <c r="F79" s="3">
        <v>8</v>
      </c>
      <c r="G79" s="4">
        <f>E79*F79</f>
        <v>1129.28</v>
      </c>
      <c r="H79" s="4">
        <v>315.36</v>
      </c>
      <c r="I79" s="9" t="s">
        <v>18</v>
      </c>
      <c r="J79" s="9" t="s">
        <v>17</v>
      </c>
      <c r="K79" s="3" t="s">
        <v>70</v>
      </c>
      <c r="L79" s="3">
        <v>39</v>
      </c>
    </row>
    <row r="80" spans="1:12" x14ac:dyDescent="0.25">
      <c r="A80" s="3">
        <v>79</v>
      </c>
      <c r="B80" s="1">
        <v>46291</v>
      </c>
      <c r="C80" s="9" t="s">
        <v>39</v>
      </c>
      <c r="D80" s="10" t="s">
        <v>61</v>
      </c>
      <c r="E80" s="4">
        <v>484.42</v>
      </c>
      <c r="F80" s="3">
        <v>36</v>
      </c>
      <c r="G80" s="4">
        <f t="shared" si="1"/>
        <v>17439.12</v>
      </c>
      <c r="H80" s="4">
        <v>4893.78</v>
      </c>
      <c r="I80" s="9" t="s">
        <v>18</v>
      </c>
      <c r="J80" s="9" t="s">
        <v>17</v>
      </c>
      <c r="K80" s="3" t="s">
        <v>70</v>
      </c>
      <c r="L80" s="3">
        <v>39</v>
      </c>
    </row>
    <row r="81" spans="1:12" x14ac:dyDescent="0.25">
      <c r="A81" s="3">
        <v>80</v>
      </c>
      <c r="B81" s="1">
        <v>46292</v>
      </c>
      <c r="C81" s="9" t="s">
        <v>42</v>
      </c>
      <c r="D81" s="10" t="s">
        <v>67</v>
      </c>
      <c r="E81" s="4">
        <v>484.53</v>
      </c>
      <c r="F81" s="3">
        <v>94</v>
      </c>
      <c r="G81" s="4">
        <f t="shared" si="1"/>
        <v>45545.82</v>
      </c>
      <c r="H81" s="4">
        <v>11476.85</v>
      </c>
      <c r="I81" s="9" t="s">
        <v>82</v>
      </c>
      <c r="J81" s="9" t="s">
        <v>81</v>
      </c>
      <c r="K81" s="3" t="s">
        <v>70</v>
      </c>
      <c r="L81" s="3">
        <v>39</v>
      </c>
    </row>
    <row r="82" spans="1:12" x14ac:dyDescent="0.25">
      <c r="A82" s="3">
        <v>81</v>
      </c>
      <c r="B82" s="1">
        <v>46294</v>
      </c>
      <c r="C82" s="9" t="s">
        <v>44</v>
      </c>
      <c r="D82" s="10" t="s">
        <v>67</v>
      </c>
      <c r="E82" s="4">
        <v>389.92</v>
      </c>
      <c r="F82" s="3">
        <v>41</v>
      </c>
      <c r="G82" s="4">
        <f t="shared" si="1"/>
        <v>15986.720000000001</v>
      </c>
      <c r="H82" s="4">
        <v>3120.26</v>
      </c>
      <c r="I82" s="9" t="s">
        <v>83</v>
      </c>
      <c r="J82" s="9" t="s">
        <v>81</v>
      </c>
      <c r="K82" s="3" t="s">
        <v>70</v>
      </c>
      <c r="L82" s="3">
        <v>40</v>
      </c>
    </row>
    <row r="83" spans="1:12" x14ac:dyDescent="0.25">
      <c r="A83" s="3">
        <v>82</v>
      </c>
      <c r="B83" s="1">
        <v>46305</v>
      </c>
      <c r="C83" s="9" t="s">
        <v>36</v>
      </c>
      <c r="D83" s="10" t="s">
        <v>28</v>
      </c>
      <c r="E83" s="4">
        <v>329.58</v>
      </c>
      <c r="F83" s="3">
        <v>94</v>
      </c>
      <c r="G83" s="4">
        <f t="shared" si="1"/>
        <v>30980.519999999997</v>
      </c>
      <c r="H83" s="4">
        <v>8740.64</v>
      </c>
      <c r="I83" s="9" t="s">
        <v>18</v>
      </c>
      <c r="J83" s="9" t="s">
        <v>17</v>
      </c>
      <c r="K83" s="3" t="s">
        <v>71</v>
      </c>
      <c r="L83" s="3">
        <v>41</v>
      </c>
    </row>
    <row r="84" spans="1:12" x14ac:dyDescent="0.25">
      <c r="A84" s="3">
        <v>83</v>
      </c>
      <c r="B84" s="1">
        <v>46309</v>
      </c>
      <c r="C84" s="9" t="s">
        <v>11</v>
      </c>
      <c r="D84" s="10" t="s">
        <v>28</v>
      </c>
      <c r="E84" s="4">
        <v>467.19</v>
      </c>
      <c r="F84" s="3">
        <v>73</v>
      </c>
      <c r="G84" s="4">
        <f t="shared" si="1"/>
        <v>34104.870000000003</v>
      </c>
      <c r="H84" s="4">
        <v>5347</v>
      </c>
      <c r="I84" s="9" t="s">
        <v>76</v>
      </c>
      <c r="J84" s="9" t="s">
        <v>9</v>
      </c>
      <c r="K84" s="3" t="s">
        <v>71</v>
      </c>
      <c r="L84" s="3">
        <v>42</v>
      </c>
    </row>
    <row r="85" spans="1:12" x14ac:dyDescent="0.25">
      <c r="A85" s="3">
        <v>84</v>
      </c>
      <c r="B85" s="1">
        <v>46315</v>
      </c>
      <c r="C85" s="9" t="s">
        <v>14</v>
      </c>
      <c r="D85" s="10" t="s">
        <v>60</v>
      </c>
      <c r="E85" s="4">
        <v>365.96</v>
      </c>
      <c r="F85" s="3">
        <v>90</v>
      </c>
      <c r="G85" s="4">
        <f t="shared" si="1"/>
        <v>32936.400000000001</v>
      </c>
      <c r="H85" s="4">
        <v>6814.21</v>
      </c>
      <c r="I85" s="9" t="s">
        <v>18</v>
      </c>
      <c r="J85" s="9" t="s">
        <v>17</v>
      </c>
      <c r="K85" s="3" t="s">
        <v>71</v>
      </c>
      <c r="L85" s="3">
        <v>43</v>
      </c>
    </row>
    <row r="86" spans="1:12" x14ac:dyDescent="0.25">
      <c r="A86" s="3">
        <v>85</v>
      </c>
      <c r="B86" s="1">
        <v>46327</v>
      </c>
      <c r="C86" s="9" t="s">
        <v>19</v>
      </c>
      <c r="D86" s="10" t="s">
        <v>30</v>
      </c>
      <c r="E86" s="4">
        <v>42.68</v>
      </c>
      <c r="F86" s="3">
        <v>99</v>
      </c>
      <c r="G86" s="4">
        <f t="shared" si="1"/>
        <v>4225.32</v>
      </c>
      <c r="H86" s="4">
        <v>1254.96</v>
      </c>
      <c r="I86" s="9" t="s">
        <v>18</v>
      </c>
      <c r="J86" s="9" t="s">
        <v>17</v>
      </c>
      <c r="K86" s="3" t="s">
        <v>72</v>
      </c>
      <c r="L86" s="3">
        <v>44</v>
      </c>
    </row>
    <row r="87" spans="1:12" x14ac:dyDescent="0.25">
      <c r="A87" s="3">
        <v>86</v>
      </c>
      <c r="B87" s="1">
        <v>46328</v>
      </c>
      <c r="C87" s="9" t="s">
        <v>7</v>
      </c>
      <c r="D87" s="10" t="s">
        <v>30</v>
      </c>
      <c r="E87" s="4">
        <v>31.73</v>
      </c>
      <c r="F87" s="3">
        <v>79</v>
      </c>
      <c r="G87" s="4">
        <f t="shared" si="1"/>
        <v>2506.67</v>
      </c>
      <c r="H87" s="4">
        <v>390.27</v>
      </c>
      <c r="I87" s="9" t="s">
        <v>55</v>
      </c>
      <c r="J87" s="9" t="s">
        <v>17</v>
      </c>
      <c r="K87" s="3" t="s">
        <v>72</v>
      </c>
      <c r="L87" s="3">
        <v>45</v>
      </c>
    </row>
    <row r="88" spans="1:12" x14ac:dyDescent="0.25">
      <c r="A88" s="3">
        <v>87</v>
      </c>
      <c r="B88" s="1">
        <v>46328</v>
      </c>
      <c r="C88" s="9" t="s">
        <v>14</v>
      </c>
      <c r="D88" s="10" t="s">
        <v>28</v>
      </c>
      <c r="E88" s="4">
        <v>354.86</v>
      </c>
      <c r="F88" s="3">
        <v>8</v>
      </c>
      <c r="G88" s="4">
        <f t="shared" si="1"/>
        <v>2838.88</v>
      </c>
      <c r="H88" s="4">
        <v>785.96</v>
      </c>
      <c r="I88" s="9" t="s">
        <v>76</v>
      </c>
      <c r="J88" s="9" t="s">
        <v>9</v>
      </c>
      <c r="K88" s="3" t="s">
        <v>72</v>
      </c>
      <c r="L88" s="3">
        <v>45</v>
      </c>
    </row>
    <row r="89" spans="1:12" x14ac:dyDescent="0.25">
      <c r="A89" s="3">
        <v>88</v>
      </c>
      <c r="B89" s="1">
        <v>46329</v>
      </c>
      <c r="C89" s="9" t="s">
        <v>19</v>
      </c>
      <c r="D89" s="10" t="s">
        <v>67</v>
      </c>
      <c r="E89" s="4">
        <v>262.32</v>
      </c>
      <c r="F89" s="3">
        <v>2</v>
      </c>
      <c r="G89" s="4">
        <f t="shared" si="1"/>
        <v>524.64</v>
      </c>
      <c r="H89" s="4">
        <v>118.76</v>
      </c>
      <c r="I89" s="9" t="s">
        <v>18</v>
      </c>
      <c r="J89" s="9" t="s">
        <v>17</v>
      </c>
      <c r="K89" s="3" t="s">
        <v>72</v>
      </c>
      <c r="L89" s="3">
        <v>45</v>
      </c>
    </row>
    <row r="90" spans="1:12" x14ac:dyDescent="0.25">
      <c r="A90" s="3">
        <v>89</v>
      </c>
      <c r="B90" s="1">
        <v>46334</v>
      </c>
      <c r="C90" s="9" t="s">
        <v>7</v>
      </c>
      <c r="D90" s="10" t="s">
        <v>12</v>
      </c>
      <c r="E90" s="4">
        <v>160.91</v>
      </c>
      <c r="F90" s="3">
        <v>68</v>
      </c>
      <c r="G90" s="4">
        <f t="shared" si="1"/>
        <v>10941.88</v>
      </c>
      <c r="H90" s="4">
        <v>1312.82</v>
      </c>
      <c r="I90" s="9" t="s">
        <v>18</v>
      </c>
      <c r="J90" s="9" t="s">
        <v>17</v>
      </c>
      <c r="K90" s="3" t="s">
        <v>72</v>
      </c>
      <c r="L90" s="3">
        <v>45</v>
      </c>
    </row>
    <row r="91" spans="1:12" x14ac:dyDescent="0.25">
      <c r="A91" s="3">
        <v>90</v>
      </c>
      <c r="B91" s="1">
        <v>46341</v>
      </c>
      <c r="C91" s="9" t="s">
        <v>11</v>
      </c>
      <c r="D91" s="10" t="s">
        <v>67</v>
      </c>
      <c r="E91" s="4">
        <v>252.81</v>
      </c>
      <c r="F91" s="3">
        <v>99</v>
      </c>
      <c r="G91" s="4">
        <f t="shared" si="1"/>
        <v>25028.19</v>
      </c>
      <c r="H91" s="4">
        <v>6539.14</v>
      </c>
      <c r="I91" s="9" t="s">
        <v>74</v>
      </c>
      <c r="J91" s="9" t="s">
        <v>9</v>
      </c>
      <c r="K91" s="3" t="s">
        <v>72</v>
      </c>
      <c r="L91" s="3">
        <v>46</v>
      </c>
    </row>
    <row r="92" spans="1:12" x14ac:dyDescent="0.25">
      <c r="A92" s="3">
        <v>91</v>
      </c>
      <c r="B92" s="1">
        <v>46346</v>
      </c>
      <c r="C92" s="9" t="s">
        <v>14</v>
      </c>
      <c r="D92" s="10" t="s">
        <v>62</v>
      </c>
      <c r="E92" s="4">
        <v>494.91</v>
      </c>
      <c r="F92" s="3">
        <v>65</v>
      </c>
      <c r="G92" s="4">
        <f t="shared" si="1"/>
        <v>32169.15</v>
      </c>
      <c r="H92" s="4">
        <v>6524.36</v>
      </c>
      <c r="I92" s="9" t="s">
        <v>74</v>
      </c>
      <c r="J92" s="9" t="s">
        <v>9</v>
      </c>
      <c r="K92" s="3" t="s">
        <v>72</v>
      </c>
      <c r="L92" s="3">
        <v>47</v>
      </c>
    </row>
    <row r="93" spans="1:12" x14ac:dyDescent="0.25">
      <c r="A93" s="3">
        <v>92</v>
      </c>
      <c r="B93" s="1">
        <v>46347</v>
      </c>
      <c r="C93" s="9" t="s">
        <v>19</v>
      </c>
      <c r="D93" s="10" t="s">
        <v>15</v>
      </c>
      <c r="E93" s="4">
        <v>228.21</v>
      </c>
      <c r="F93" s="3">
        <v>97</v>
      </c>
      <c r="G93" s="4">
        <f t="shared" si="1"/>
        <v>22136.37</v>
      </c>
      <c r="H93" s="4">
        <v>5350.5</v>
      </c>
      <c r="I93" s="9" t="s">
        <v>84</v>
      </c>
      <c r="J93" s="9" t="s">
        <v>17</v>
      </c>
      <c r="K93" s="3" t="s">
        <v>72</v>
      </c>
      <c r="L93" s="3">
        <v>47</v>
      </c>
    </row>
    <row r="94" spans="1:12" x14ac:dyDescent="0.25">
      <c r="A94" s="3">
        <v>93</v>
      </c>
      <c r="B94" s="1">
        <v>46351</v>
      </c>
      <c r="C94" s="9" t="s">
        <v>7</v>
      </c>
      <c r="D94" s="10" t="s">
        <v>63</v>
      </c>
      <c r="E94" s="4">
        <v>243.82</v>
      </c>
      <c r="F94" s="3">
        <v>96</v>
      </c>
      <c r="G94" s="4">
        <f t="shared" si="1"/>
        <v>23406.720000000001</v>
      </c>
      <c r="H94" s="4">
        <v>6223.1</v>
      </c>
      <c r="I94" s="9" t="s">
        <v>55</v>
      </c>
      <c r="J94" s="9" t="s">
        <v>17</v>
      </c>
      <c r="K94" s="3" t="s">
        <v>72</v>
      </c>
      <c r="L94" s="3">
        <v>48</v>
      </c>
    </row>
    <row r="95" spans="1:12" x14ac:dyDescent="0.25">
      <c r="A95" s="3">
        <v>94</v>
      </c>
      <c r="B95" s="1">
        <v>46354</v>
      </c>
      <c r="C95" s="9" t="s">
        <v>11</v>
      </c>
      <c r="D95" s="10" t="s">
        <v>68</v>
      </c>
      <c r="E95" s="4">
        <v>417.56</v>
      </c>
      <c r="F95" s="3">
        <v>99</v>
      </c>
      <c r="G95" s="4">
        <f t="shared" si="1"/>
        <v>41338.44</v>
      </c>
      <c r="H95" s="4">
        <v>4203.12</v>
      </c>
      <c r="I95" s="9" t="s">
        <v>18</v>
      </c>
      <c r="J95" s="9" t="s">
        <v>17</v>
      </c>
      <c r="K95" s="3" t="s">
        <v>72</v>
      </c>
      <c r="L95" s="3">
        <v>48</v>
      </c>
    </row>
    <row r="96" spans="1:12" x14ac:dyDescent="0.25">
      <c r="A96" s="3">
        <v>95</v>
      </c>
      <c r="B96" s="1">
        <v>46355</v>
      </c>
      <c r="C96" s="9" t="s">
        <v>14</v>
      </c>
      <c r="D96" s="10" t="s">
        <v>62</v>
      </c>
      <c r="E96" s="4">
        <v>343.46</v>
      </c>
      <c r="F96" s="3">
        <v>97</v>
      </c>
      <c r="G96" s="4">
        <f t="shared" si="1"/>
        <v>33315.619999999995</v>
      </c>
      <c r="H96" s="4">
        <v>6520.91</v>
      </c>
      <c r="I96" s="9" t="s">
        <v>18</v>
      </c>
      <c r="J96" s="9" t="s">
        <v>17</v>
      </c>
      <c r="K96" s="3" t="s">
        <v>72</v>
      </c>
      <c r="L96" s="3">
        <v>48</v>
      </c>
    </row>
    <row r="97" spans="1:12" x14ac:dyDescent="0.25">
      <c r="A97" s="3">
        <v>96</v>
      </c>
      <c r="B97" s="1">
        <v>46363</v>
      </c>
      <c r="C97" s="9" t="s">
        <v>19</v>
      </c>
      <c r="D97" s="10" t="s">
        <v>27</v>
      </c>
      <c r="E97" s="4">
        <v>7.33</v>
      </c>
      <c r="F97" s="3">
        <v>30</v>
      </c>
      <c r="G97" s="4">
        <f t="shared" si="1"/>
        <v>219.9</v>
      </c>
      <c r="H97" s="4">
        <v>53.53</v>
      </c>
      <c r="I97" s="9" t="s">
        <v>79</v>
      </c>
      <c r="J97" s="9" t="s">
        <v>9</v>
      </c>
      <c r="K97" s="3" t="s">
        <v>73</v>
      </c>
      <c r="L97" s="3">
        <v>50</v>
      </c>
    </row>
    <row r="98" spans="1:12" x14ac:dyDescent="0.25">
      <c r="A98" s="3">
        <v>97</v>
      </c>
      <c r="B98" s="1">
        <v>46365</v>
      </c>
      <c r="C98" s="9" t="s">
        <v>7</v>
      </c>
      <c r="D98" s="10" t="s">
        <v>20</v>
      </c>
      <c r="E98" s="4">
        <v>272.64999999999998</v>
      </c>
      <c r="F98" s="3">
        <v>25</v>
      </c>
      <c r="G98" s="4">
        <f t="shared" si="1"/>
        <v>6816.2499999999991</v>
      </c>
      <c r="H98" s="4">
        <v>1966.28</v>
      </c>
      <c r="I98" s="9" t="s">
        <v>18</v>
      </c>
      <c r="J98" s="9" t="s">
        <v>17</v>
      </c>
      <c r="K98" s="3" t="s">
        <v>73</v>
      </c>
      <c r="L98" s="3">
        <v>50</v>
      </c>
    </row>
    <row r="99" spans="1:12" x14ac:dyDescent="0.25">
      <c r="A99" s="3">
        <v>98</v>
      </c>
      <c r="B99" s="1">
        <v>46369</v>
      </c>
      <c r="C99" s="9" t="s">
        <v>11</v>
      </c>
      <c r="D99" s="10" t="s">
        <v>28</v>
      </c>
      <c r="E99" s="4">
        <v>98.78</v>
      </c>
      <c r="F99" s="3">
        <v>7</v>
      </c>
      <c r="G99" s="4">
        <f t="shared" si="1"/>
        <v>691.46</v>
      </c>
      <c r="H99" s="4">
        <v>165.55</v>
      </c>
      <c r="I99" s="9" t="s">
        <v>79</v>
      </c>
      <c r="J99" s="9" t="s">
        <v>9</v>
      </c>
      <c r="K99" s="3" t="s">
        <v>73</v>
      </c>
      <c r="L99" s="3">
        <v>50</v>
      </c>
    </row>
    <row r="100" spans="1:12" x14ac:dyDescent="0.25">
      <c r="A100" s="3">
        <v>99</v>
      </c>
      <c r="B100" s="1">
        <v>46371</v>
      </c>
      <c r="C100" s="9" t="s">
        <v>14</v>
      </c>
      <c r="D100" s="10" t="s">
        <v>68</v>
      </c>
      <c r="E100" s="4">
        <v>36.14</v>
      </c>
      <c r="F100" s="3">
        <v>52</v>
      </c>
      <c r="G100" s="4">
        <f t="shared" si="1"/>
        <v>1879.28</v>
      </c>
      <c r="H100" s="4">
        <v>441.35</v>
      </c>
      <c r="I100" s="9" t="s">
        <v>55</v>
      </c>
      <c r="J100" s="9" t="s">
        <v>17</v>
      </c>
      <c r="K100" s="3" t="s">
        <v>73</v>
      </c>
      <c r="L100" s="3">
        <v>51</v>
      </c>
    </row>
    <row r="101" spans="1:12" x14ac:dyDescent="0.25">
      <c r="A101" s="3">
        <v>100</v>
      </c>
      <c r="B101" s="1">
        <v>46372</v>
      </c>
      <c r="C101" s="9" t="s">
        <v>19</v>
      </c>
      <c r="D101" s="10" t="s">
        <v>34</v>
      </c>
      <c r="E101" s="4">
        <v>323.49</v>
      </c>
      <c r="F101" s="3">
        <v>86</v>
      </c>
      <c r="G101" s="4">
        <f t="shared" si="1"/>
        <v>27820.14</v>
      </c>
      <c r="H101" s="4">
        <v>4153.8500000000004</v>
      </c>
      <c r="I101" s="9" t="s">
        <v>55</v>
      </c>
      <c r="J101" s="9" t="s">
        <v>17</v>
      </c>
      <c r="K101" s="3" t="s">
        <v>73</v>
      </c>
      <c r="L101" s="3">
        <v>51</v>
      </c>
    </row>
    <row r="102" spans="1:12" x14ac:dyDescent="0.25">
      <c r="G102" s="5">
        <f>SUM(G2:G101)</f>
        <v>1405406.5099999993</v>
      </c>
    </row>
    <row r="1048576" spans="7:8" x14ac:dyDescent="0.25">
      <c r="G1048576" s="5">
        <f>SUM(G2:G1048575)</f>
        <v>2810813.0199999986</v>
      </c>
      <c r="H1048576" s="5">
        <f>SUM(H2:H1048575)</f>
        <v>298120.95999999985</v>
      </c>
    </row>
  </sheetData>
  <autoFilter ref="A1:L101" xr:uid="{00000000-0001-0000-0000-00000000000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Pivot_tables</vt:lpstr>
      <vt:lpstr>Database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Ahmidatou, Abderrahmane  1 /DZ</dc:creator>
  <cp:lastModifiedBy>seleem</cp:lastModifiedBy>
  <cp:lastPrinted>2025-05-14T07:55:59Z</cp:lastPrinted>
  <dcterms:created xsi:type="dcterms:W3CDTF">2024-11-27T08:38:26Z</dcterms:created>
  <dcterms:modified xsi:type="dcterms:W3CDTF">2025-05-15T05:27:52Z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9088468-0951-4aef-9cc3-0a346e475ddc_Enabled">
    <vt:lpwstr>true</vt:lpwstr>
  </property>
  <property fmtid="{D5CDD505-2E9C-101B-9397-08002B2CF9AE}" pid="3" name="MSIP_Label_d9088468-0951-4aef-9cc3-0a346e475ddc_SetDate">
    <vt:lpwstr>2024-11-27T10:20:12Z</vt:lpwstr>
  </property>
  <property fmtid="{D5CDD505-2E9C-101B-9397-08002B2CF9AE}" pid="4" name="MSIP_Label_d9088468-0951-4aef-9cc3-0a346e475ddc_Method">
    <vt:lpwstr>Privileged</vt:lpwstr>
  </property>
  <property fmtid="{D5CDD505-2E9C-101B-9397-08002B2CF9AE}" pid="5" name="MSIP_Label_d9088468-0951-4aef-9cc3-0a346e475ddc_Name">
    <vt:lpwstr>Public</vt:lpwstr>
  </property>
  <property fmtid="{D5CDD505-2E9C-101B-9397-08002B2CF9AE}" pid="6" name="MSIP_Label_d9088468-0951-4aef-9cc3-0a346e475ddc_SiteId">
    <vt:lpwstr>aca3c8d6-aa71-4e1a-a10e-03572fc58c0b</vt:lpwstr>
  </property>
  <property fmtid="{D5CDD505-2E9C-101B-9397-08002B2CF9AE}" pid="7" name="MSIP_Label_d9088468-0951-4aef-9cc3-0a346e475ddc_ActionId">
    <vt:lpwstr>4f2fa609-f4d1-4bc0-8273-681d9dbc834e</vt:lpwstr>
  </property>
  <property fmtid="{D5CDD505-2E9C-101B-9397-08002B2CF9AE}" pid="8" name="MSIP_Label_d9088468-0951-4aef-9cc3-0a346e475ddc_ContentBits">
    <vt:lpwstr>0</vt:lpwstr>
  </property>
</Properties>
</file>