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drawings/drawing2.xml" ContentType="application/vnd.openxmlformats-officedocument.drawingml.chartshapes+xml"/>
  <Override PartName="/xl/charts/chartEx1.xml" ContentType="application/vnd.ms-office.chartex+xml"/>
  <Override PartName="/xl/charts/style5.xml" ContentType="application/vnd.ms-office.chartstyle+xml"/>
  <Override PartName="/xl/charts/colors5.xml" ContentType="application/vnd.ms-office.chartcolorstyle+xml"/>
  <Override PartName="/xl/charts/chart5.xml" ContentType="application/vnd.openxmlformats-officedocument.drawingml.chart+xml"/>
  <Override PartName="/xl/charts/style6.xml" ContentType="application/vnd.ms-office.chartstyle+xml"/>
  <Override PartName="/xl/charts/colors6.xml" ContentType="application/vnd.ms-office.chartcolorstyle+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730" codeName="{80610A8E-5010-04F8-B4C4-4C4527662162}"/>
  <workbookPr codeName="ThisWorkbook" defaultThemeVersion="166925"/>
  <mc:AlternateContent xmlns:mc="http://schemas.openxmlformats.org/markup-compatibility/2006">
    <mc:Choice Requires="x15">
      <x15ac:absPath xmlns:x15ac="http://schemas.microsoft.com/office/spreadsheetml/2010/11/ac" url="F:\Selim\my_learn\study-Excel-udemy\المستوى الثالث\"/>
    </mc:Choice>
  </mc:AlternateContent>
  <xr:revisionPtr revIDLastSave="0" documentId="13_ncr:1_{1EB7345C-BC05-4475-BFD8-C5BACD84879A}" xr6:coauthVersionLast="47" xr6:coauthVersionMax="47" xr10:uidLastSave="{00000000-0000-0000-0000-000000000000}"/>
  <bookViews>
    <workbookView xWindow="-120" yWindow="-120" windowWidth="29040" windowHeight="15840" tabRatio="534" xr2:uid="{83450228-6ABB-4463-9E01-81C2F552CCAF}"/>
  </bookViews>
  <sheets>
    <sheet name="Dashboard" sheetId="6" r:id="rId1"/>
    <sheet name="Pivot_tables" sheetId="7" r:id="rId2"/>
    <sheet name="Database" sheetId="5" r:id="rId3"/>
  </sheets>
  <definedNames>
    <definedName name="_xlnm._FilterDatabase" localSheetId="2" hidden="1">Database!$A$1:$L$101</definedName>
    <definedName name="_xlchart.v5.0" hidden="1">Pivot_tables!$V$3</definedName>
    <definedName name="_xlchart.v5.1" hidden="1">Pivot_tables!$V$4:$V$22</definedName>
    <definedName name="_xlchart.v5.2" hidden="1">Pivot_tables!$W$3</definedName>
    <definedName name="_xlchart.v5.3" hidden="1">Pivot_tables!$W$4:$W$22</definedName>
    <definedName name="Slicer_Month">#N/A</definedName>
    <definedName name="Slicer_Region">#N/A</definedName>
  </definedNames>
  <calcPr calcId="191029"/>
  <pivotCaches>
    <pivotCache cacheId="72" r:id="rId4"/>
  </pivotCaches>
  <extLst>
    <ext xmlns:x14="http://schemas.microsoft.com/office/spreadsheetml/2009/9/main" uri="{BBE1A952-AA13-448e-AADC-164F8A28A991}">
      <x14:slicerCaches>
        <x14:slicerCache r:id="rId5"/>
        <x14:slicerCache r:id="rId6"/>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18" i="7" l="1"/>
  <c r="D18" i="7"/>
  <c r="E18" i="7"/>
  <c r="F18" i="7"/>
  <c r="G18" i="7"/>
  <c r="C19" i="7"/>
  <c r="D19" i="7"/>
  <c r="E19" i="7"/>
  <c r="F19" i="7"/>
  <c r="G19" i="7"/>
  <c r="C20" i="7"/>
  <c r="D20" i="7"/>
  <c r="E20" i="7"/>
  <c r="F20" i="7"/>
  <c r="G20" i="7"/>
  <c r="C21" i="7"/>
  <c r="D21" i="7"/>
  <c r="E21" i="7"/>
  <c r="F21" i="7"/>
  <c r="G21" i="7"/>
  <c r="C22" i="7"/>
  <c r="D22" i="7"/>
  <c r="E22" i="7"/>
  <c r="F22" i="7"/>
  <c r="G22" i="7"/>
  <c r="C23" i="7"/>
  <c r="D23" i="7"/>
  <c r="E23" i="7"/>
  <c r="F23" i="7"/>
  <c r="G23" i="7"/>
  <c r="C24" i="7"/>
  <c r="D24" i="7"/>
  <c r="E24" i="7"/>
  <c r="F24" i="7"/>
  <c r="G24" i="7"/>
  <c r="C25" i="7"/>
  <c r="D25" i="7"/>
  <c r="E25" i="7"/>
  <c r="F25" i="7"/>
  <c r="G25" i="7"/>
  <c r="C26" i="7"/>
  <c r="D26" i="7"/>
  <c r="E26" i="7"/>
  <c r="F26" i="7"/>
  <c r="G26" i="7"/>
  <c r="C27" i="7"/>
  <c r="D27" i="7"/>
  <c r="E27" i="7"/>
  <c r="F27" i="7"/>
  <c r="G27" i="7"/>
  <c r="C28" i="7"/>
  <c r="D28" i="7"/>
  <c r="E28" i="7"/>
  <c r="F28" i="7"/>
  <c r="G28" i="7"/>
  <c r="C29" i="7"/>
  <c r="D29" i="7"/>
  <c r="E29" i="7"/>
  <c r="F29" i="7"/>
  <c r="G29" i="7"/>
  <c r="D17" i="7"/>
  <c r="E17" i="7"/>
  <c r="F17" i="7"/>
  <c r="G17" i="7"/>
  <c r="C17" i="7"/>
  <c r="H1048576" i="5"/>
  <c r="G79" i="5"/>
  <c r="W22" i="7"/>
  <c r="V22" i="7"/>
  <c r="W21" i="7"/>
  <c r="V21" i="7"/>
  <c r="W20" i="7"/>
  <c r="V20" i="7"/>
  <c r="W19" i="7"/>
  <c r="V19" i="7"/>
  <c r="W18" i="7"/>
  <c r="V18" i="7"/>
  <c r="W17" i="7"/>
  <c r="V17" i="7"/>
  <c r="W16" i="7"/>
  <c r="V16" i="7"/>
  <c r="W15" i="7"/>
  <c r="V15" i="7"/>
  <c r="W14" i="7"/>
  <c r="V14" i="7"/>
  <c r="W13" i="7"/>
  <c r="V13" i="7"/>
  <c r="W12" i="7"/>
  <c r="V12" i="7"/>
  <c r="W11" i="7"/>
  <c r="V11" i="7"/>
  <c r="W10" i="7"/>
  <c r="V10" i="7"/>
  <c r="W9" i="7"/>
  <c r="V9" i="7"/>
  <c r="W8" i="7"/>
  <c r="V8" i="7"/>
  <c r="W7" i="7"/>
  <c r="V7" i="7"/>
  <c r="W6" i="7"/>
  <c r="V6" i="7"/>
  <c r="W5" i="7"/>
  <c r="V5" i="7"/>
  <c r="W4" i="7"/>
  <c r="V4" i="7"/>
  <c r="S5" i="7"/>
  <c r="S6" i="7"/>
  <c r="S7" i="7"/>
  <c r="S8" i="7"/>
  <c r="S9" i="7"/>
  <c r="S10" i="7"/>
  <c r="S11" i="7"/>
  <c r="S12" i="7"/>
  <c r="S13" i="7"/>
  <c r="S14" i="7"/>
  <c r="S15" i="7"/>
  <c r="S16" i="7"/>
  <c r="S17" i="7"/>
  <c r="S18" i="7"/>
  <c r="S19" i="7"/>
  <c r="S20" i="7"/>
  <c r="S21" i="7"/>
  <c r="S22" i="7"/>
  <c r="S23" i="7"/>
  <c r="S24" i="7"/>
  <c r="S25" i="7"/>
  <c r="S26" i="7"/>
  <c r="S27" i="7"/>
  <c r="S28" i="7"/>
  <c r="S29" i="7"/>
  <c r="S30" i="7"/>
  <c r="S31" i="7"/>
  <c r="S32" i="7"/>
  <c r="S33" i="7"/>
  <c r="S34" i="7"/>
  <c r="S35" i="7"/>
  <c r="S36" i="7"/>
  <c r="S37" i="7"/>
  <c r="S38" i="7"/>
  <c r="S39" i="7"/>
  <c r="S40" i="7"/>
  <c r="S41" i="7"/>
  <c r="S42" i="7"/>
  <c r="R4" i="7"/>
  <c r="S4" i="7"/>
  <c r="R5" i="7"/>
  <c r="R6" i="7"/>
  <c r="R7" i="7"/>
  <c r="R8" i="7"/>
  <c r="R9" i="7"/>
  <c r="R10" i="7"/>
  <c r="R11" i="7"/>
  <c r="R12" i="7"/>
  <c r="R13" i="7"/>
  <c r="R14" i="7"/>
  <c r="R15" i="7"/>
  <c r="R16" i="7"/>
  <c r="R17" i="7"/>
  <c r="R18" i="7"/>
  <c r="R19" i="7"/>
  <c r="R20" i="7"/>
  <c r="R21" i="7"/>
  <c r="R22" i="7"/>
  <c r="R23" i="7"/>
  <c r="R24" i="7"/>
  <c r="R25" i="7"/>
  <c r="R26" i="7"/>
  <c r="R27" i="7"/>
  <c r="R28" i="7"/>
  <c r="R29" i="7"/>
  <c r="R30" i="7"/>
  <c r="R31" i="7"/>
  <c r="R32" i="7"/>
  <c r="R33" i="7"/>
  <c r="R34" i="7"/>
  <c r="R35" i="7"/>
  <c r="R36" i="7"/>
  <c r="R37" i="7"/>
  <c r="R38" i="7"/>
  <c r="R39" i="7"/>
  <c r="R40" i="7"/>
  <c r="R41" i="7"/>
  <c r="R42" i="7"/>
  <c r="L12" i="7"/>
  <c r="M12" i="7"/>
  <c r="L13" i="7"/>
  <c r="M13" i="7"/>
  <c r="L14" i="7"/>
  <c r="M14" i="7"/>
  <c r="M11" i="7"/>
  <c r="L11" i="7"/>
  <c r="K12" i="7"/>
  <c r="K13" i="7"/>
  <c r="K14" i="7"/>
  <c r="K15" i="7"/>
  <c r="K11" i="7"/>
  <c r="J12" i="7"/>
  <c r="J13" i="7"/>
  <c r="J14" i="7"/>
  <c r="J15" i="7"/>
  <c r="J11" i="7"/>
  <c r="I27" i="7"/>
  <c r="H27" i="7"/>
  <c r="I28" i="7"/>
  <c r="I29" i="7"/>
  <c r="I30" i="7"/>
  <c r="I31" i="7"/>
  <c r="I32" i="7"/>
  <c r="I33" i="7"/>
  <c r="I34" i="7"/>
  <c r="I35" i="7"/>
  <c r="I36" i="7"/>
  <c r="H28" i="7"/>
  <c r="H29" i="7"/>
  <c r="H30" i="7"/>
  <c r="H31" i="7"/>
  <c r="H32" i="7"/>
  <c r="H33" i="7"/>
  <c r="H34" i="7"/>
  <c r="H35" i="7"/>
  <c r="H36" i="7"/>
  <c r="B9" i="7"/>
  <c r="A9" i="7"/>
  <c r="G3" i="5"/>
  <c r="G4" i="5"/>
  <c r="G5" i="5"/>
  <c r="G6" i="5"/>
  <c r="G7" i="5"/>
  <c r="G8" i="5"/>
  <c r="G9" i="5"/>
  <c r="G10" i="5"/>
  <c r="G11" i="5"/>
  <c r="G12" i="5"/>
  <c r="G13" i="5"/>
  <c r="G14" i="5"/>
  <c r="G15" i="5"/>
  <c r="G16" i="5"/>
  <c r="G17" i="5"/>
  <c r="G18" i="5"/>
  <c r="G19" i="5"/>
  <c r="G20" i="5"/>
  <c r="G21" i="5"/>
  <c r="G22" i="5"/>
  <c r="G23" i="5"/>
  <c r="G24" i="5"/>
  <c r="G25" i="5"/>
  <c r="G26" i="5"/>
  <c r="G27" i="5"/>
  <c r="G28" i="5"/>
  <c r="G29" i="5"/>
  <c r="G30" i="5"/>
  <c r="G31" i="5"/>
  <c r="G32" i="5"/>
  <c r="G33" i="5"/>
  <c r="G34" i="5"/>
  <c r="G35" i="5"/>
  <c r="G36" i="5"/>
  <c r="G37" i="5"/>
  <c r="G38" i="5"/>
  <c r="G39" i="5"/>
  <c r="G40" i="5"/>
  <c r="G41" i="5"/>
  <c r="G42" i="5"/>
  <c r="G43" i="5"/>
  <c r="G44" i="5"/>
  <c r="G45" i="5"/>
  <c r="G46" i="5"/>
  <c r="G47" i="5"/>
  <c r="G48" i="5"/>
  <c r="G49" i="5"/>
  <c r="G50" i="5"/>
  <c r="G51" i="5"/>
  <c r="G52" i="5"/>
  <c r="G53" i="5"/>
  <c r="G54" i="5"/>
  <c r="G55" i="5"/>
  <c r="G56" i="5"/>
  <c r="G57" i="5"/>
  <c r="G58" i="5"/>
  <c r="G59" i="5"/>
  <c r="G60" i="5"/>
  <c r="G61" i="5"/>
  <c r="G62" i="5"/>
  <c r="G63" i="5"/>
  <c r="G64" i="5"/>
  <c r="G65" i="5"/>
  <c r="G66" i="5"/>
  <c r="G67" i="5"/>
  <c r="G68" i="5"/>
  <c r="G69" i="5"/>
  <c r="G70" i="5"/>
  <c r="G71" i="5"/>
  <c r="G72" i="5"/>
  <c r="G73" i="5"/>
  <c r="G74" i="5"/>
  <c r="G75" i="5"/>
  <c r="G76" i="5"/>
  <c r="G77" i="5"/>
  <c r="G78" i="5"/>
  <c r="G80" i="5"/>
  <c r="G81" i="5"/>
  <c r="G82" i="5"/>
  <c r="G83" i="5"/>
  <c r="G84" i="5"/>
  <c r="G85" i="5"/>
  <c r="G86" i="5"/>
  <c r="G87" i="5"/>
  <c r="G88" i="5"/>
  <c r="G89" i="5"/>
  <c r="G90" i="5"/>
  <c r="G91" i="5"/>
  <c r="G92" i="5"/>
  <c r="G93" i="5"/>
  <c r="G94" i="5"/>
  <c r="G95" i="5"/>
  <c r="G96" i="5"/>
  <c r="G97" i="5"/>
  <c r="G98" i="5"/>
  <c r="G99" i="5"/>
  <c r="G100" i="5"/>
  <c r="G101" i="5"/>
  <c r="G2" i="5"/>
  <c r="G102" i="5" l="1"/>
  <c r="G1048576" i="5" s="1"/>
  <c r="B10" i="7"/>
</calcChain>
</file>

<file path=xl/sharedStrings.xml><?xml version="1.0" encoding="utf-8"?>
<sst xmlns="http://schemas.openxmlformats.org/spreadsheetml/2006/main" count="603" uniqueCount="91">
  <si>
    <t>Date</t>
  </si>
  <si>
    <t>Customer</t>
  </si>
  <si>
    <t>Product</t>
  </si>
  <si>
    <t>Quantity</t>
  </si>
  <si>
    <t>Country</t>
  </si>
  <si>
    <t>Region</t>
  </si>
  <si>
    <t>Month</t>
  </si>
  <si>
    <t>AliTech</t>
  </si>
  <si>
    <t>Saudi Arabia</t>
  </si>
  <si>
    <t>Middle East</t>
  </si>
  <si>
    <t>January</t>
  </si>
  <si>
    <t>StarMall</t>
  </si>
  <si>
    <t>Keyboard</t>
  </si>
  <si>
    <t>UAE</t>
  </si>
  <si>
    <t>Shopper's Hub</t>
  </si>
  <si>
    <t>Headphones</t>
  </si>
  <si>
    <t>Egypt</t>
  </si>
  <si>
    <t>North Africa</t>
  </si>
  <si>
    <t>Algeria</t>
  </si>
  <si>
    <t>TechMart</t>
  </si>
  <si>
    <t>Monitor</t>
  </si>
  <si>
    <t>Lebanon</t>
  </si>
  <si>
    <t>Levant</t>
  </si>
  <si>
    <t>Wireless Charger</t>
  </si>
  <si>
    <t>Jordan</t>
  </si>
  <si>
    <t>Qatar</t>
  </si>
  <si>
    <t>External Hard Drive</t>
  </si>
  <si>
    <t>Desk Lamp</t>
  </si>
  <si>
    <t>Bluetooth Speaker</t>
  </si>
  <si>
    <t>February</t>
  </si>
  <si>
    <t>Power Bank</t>
  </si>
  <si>
    <t>N°</t>
  </si>
  <si>
    <t>March</t>
  </si>
  <si>
    <t>April</t>
  </si>
  <si>
    <t>Fitness Tracker</t>
  </si>
  <si>
    <t>May</t>
  </si>
  <si>
    <t>EcoShop</t>
  </si>
  <si>
    <t>TechDeals</t>
  </si>
  <si>
    <t>DailyEssentials</t>
  </si>
  <si>
    <t>ValueMart</t>
  </si>
  <si>
    <t>FreshStart</t>
  </si>
  <si>
    <t>June</t>
  </si>
  <si>
    <t>CityEssentials</t>
  </si>
  <si>
    <t>LifeGoods</t>
  </si>
  <si>
    <t>RapidDeals</t>
  </si>
  <si>
    <t>SuperShop</t>
  </si>
  <si>
    <t>EasyMart</t>
  </si>
  <si>
    <t>ValueShop</t>
  </si>
  <si>
    <t>ShopperPlus</t>
  </si>
  <si>
    <t>BrightDeals</t>
  </si>
  <si>
    <t>MegaGadgets</t>
  </si>
  <si>
    <t>July</t>
  </si>
  <si>
    <t>Smartwatch</t>
  </si>
  <si>
    <t>August</t>
  </si>
  <si>
    <t>Libya</t>
  </si>
  <si>
    <t>Tunisia</t>
  </si>
  <si>
    <t>Unit Price</t>
  </si>
  <si>
    <t>Sales</t>
  </si>
  <si>
    <t>Total Profit</t>
  </si>
  <si>
    <t>Week Number</t>
  </si>
  <si>
    <t>Smartphone</t>
  </si>
  <si>
    <t>Mouse</t>
  </si>
  <si>
    <t>Printer</t>
  </si>
  <si>
    <t>Portable SSD</t>
  </si>
  <si>
    <t>USB Flash Drive</t>
  </si>
  <si>
    <t>Laptop</t>
  </si>
  <si>
    <t>Projector</t>
  </si>
  <si>
    <t>Tablet</t>
  </si>
  <si>
    <t>Router</t>
  </si>
  <si>
    <t>Camera</t>
  </si>
  <si>
    <t>September</t>
  </si>
  <si>
    <t>October</t>
  </si>
  <si>
    <t>November</t>
  </si>
  <si>
    <t>December</t>
  </si>
  <si>
    <t>Bahrain</t>
  </si>
  <si>
    <t>Iraq</t>
  </si>
  <si>
    <t>Kuwait</t>
  </si>
  <si>
    <t>Oman</t>
  </si>
  <si>
    <t>Palestine</t>
  </si>
  <si>
    <t>Syria</t>
  </si>
  <si>
    <t>Yemen</t>
  </si>
  <si>
    <t>Horn of Africa</t>
  </si>
  <si>
    <t>Sudan</t>
  </si>
  <si>
    <t>South Sudan</t>
  </si>
  <si>
    <t>Western Sahara</t>
  </si>
  <si>
    <t>Sum of Sales</t>
  </si>
  <si>
    <t>Sum of Total Profit</t>
  </si>
  <si>
    <t>Column Labels</t>
  </si>
  <si>
    <t>Row Labels</t>
  </si>
  <si>
    <t>Column1</t>
  </si>
  <si>
    <t>Column2</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</si>
</sst>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44" formatCode="_(&quot;$&quot;* #,##0.00_);_(&quot;$&quot;* \(#,##0.00\);_(&quot;$&quot;* &quot;-&quot;??_);_(@_)"/>
    <numFmt numFmtId="43" formatCode="_(* #,##0.00_);_(* \(#,##0.00\);_(* &quot;-&quot;??_);_(@_)"/>
    <numFmt numFmtId="164" formatCode="_(* #,##0_);_(* \(#,##0\);_(* &quot;-&quot;??_);_(@_)"/>
  </numFmts>
  <fonts count="3" x14ac:knownFonts="1">
    <font>
      <sz val="11"/>
      <color theme="1"/>
      <name val="Calibri"/>
      <family val="2"/>
      <scheme val="minor"/>
    </font>
    <font>
      <sz val="11"/>
      <color theme="1"/>
      <name val="Calibri"/>
      <family val="2"/>
      <scheme val="minor"/>
    </font>
    <font>
      <b/>
      <sz val="11"/>
      <color theme="1"/>
      <name val="Calibri"/>
      <family val="2"/>
      <scheme val="minor"/>
    </font>
  </fonts>
  <fills count="4">
    <fill>
      <patternFill patternType="none"/>
    </fill>
    <fill>
      <patternFill patternType="gray125"/>
    </fill>
    <fill>
      <patternFill patternType="solid">
        <fgColor theme="4" tint="0.79998168889431442"/>
        <bgColor indexed="64"/>
      </patternFill>
    </fill>
    <fill>
      <patternFill patternType="solid">
        <fgColor theme="9" tint="0.79998168889431442"/>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4">
    <xf numFmtId="0" fontId="0" fillId="0" borderId="0"/>
    <xf numFmtId="43" fontId="1" fillId="0" borderId="0" applyFont="0" applyFill="0" applyBorder="0" applyAlignment="0" applyProtection="0"/>
    <xf numFmtId="44" fontId="1" fillId="0" borderId="0" applyFont="0" applyFill="0" applyBorder="0" applyAlignment="0" applyProtection="0"/>
    <xf numFmtId="9" fontId="1" fillId="0" borderId="0" applyFont="0" applyFill="0" applyBorder="0" applyAlignment="0" applyProtection="0"/>
  </cellStyleXfs>
  <cellXfs count="18">
    <xf numFmtId="0" fontId="0" fillId="0" borderId="0" xfId="0"/>
    <xf numFmtId="14" fontId="0" fillId="0" borderId="1" xfId="0" applyNumberFormat="1" applyBorder="1" applyAlignment="1">
      <alignment horizontal="center" vertical="center"/>
    </xf>
    <xf numFmtId="0" fontId="0" fillId="0" borderId="0" xfId="0" applyAlignment="1">
      <alignment horizontal="center"/>
    </xf>
    <xf numFmtId="0" fontId="0" fillId="0" borderId="1" xfId="0" applyBorder="1" applyAlignment="1">
      <alignment horizontal="center"/>
    </xf>
    <xf numFmtId="164" fontId="0" fillId="0" borderId="1" xfId="1" applyNumberFormat="1" applyFont="1" applyBorder="1" applyAlignment="1">
      <alignment horizontal="center"/>
    </xf>
    <xf numFmtId="164" fontId="0" fillId="0" borderId="0" xfId="1" applyNumberFormat="1" applyFont="1" applyAlignment="1">
      <alignment horizontal="center"/>
    </xf>
    <xf numFmtId="0" fontId="2" fillId="2" borderId="1" xfId="0" applyFont="1" applyFill="1" applyBorder="1" applyAlignment="1">
      <alignment horizontal="center" vertical="center" wrapText="1"/>
    </xf>
    <xf numFmtId="164" fontId="2" fillId="2" borderId="1" xfId="1" applyNumberFormat="1" applyFont="1" applyFill="1" applyBorder="1" applyAlignment="1">
      <alignment horizontal="center" vertical="center" wrapText="1"/>
    </xf>
    <xf numFmtId="0" fontId="0" fillId="0" borderId="0" xfId="0" applyAlignment="1">
      <alignment horizontal="left"/>
    </xf>
    <xf numFmtId="0" fontId="0" fillId="0" borderId="1" xfId="0" applyBorder="1" applyAlignment="1">
      <alignment horizontal="left" vertical="center"/>
    </xf>
    <xf numFmtId="0" fontId="0" fillId="0" borderId="1" xfId="0" applyBorder="1" applyAlignment="1">
      <alignment horizontal="left"/>
    </xf>
    <xf numFmtId="0" fontId="0" fillId="0" borderId="0" xfId="0" applyAlignment="1">
      <alignment horizontal="center" vertical="center" wrapText="1"/>
    </xf>
    <xf numFmtId="0" fontId="0" fillId="3" borderId="0" xfId="0" applyFill="1"/>
    <xf numFmtId="164" fontId="0" fillId="0" borderId="0" xfId="0" applyNumberFormat="1"/>
    <xf numFmtId="9" fontId="0" fillId="0" borderId="0" xfId="3" applyFont="1"/>
    <xf numFmtId="1" fontId="0" fillId="0" borderId="0" xfId="2" applyNumberFormat="1" applyFont="1"/>
    <xf numFmtId="0" fontId="0" fillId="0" borderId="0" xfId="0" pivotButton="1"/>
    <xf numFmtId="1" fontId="0" fillId="0" borderId="0" xfId="0" applyNumberFormat="1"/>
  </cellXfs>
  <cellStyles count="4">
    <cellStyle name="Comma 2" xfId="1" xr:uid="{5C5D586A-FBF2-48E9-8F9A-4DCA9D9CFF54}"/>
    <cellStyle name="Currency" xfId="2" builtinId="4"/>
    <cellStyle name="Normal" xfId="0" builtinId="0"/>
    <cellStyle name="Percent" xfId="3" builtinId="5"/>
  </cellStyles>
  <dxfs count="6">
    <dxf>
      <numFmt numFmtId="164" formatCode="_(* #,##0_);_(* \(#,##0\);_(* &quot;-&quot;??_);_(@_)"/>
    </dxf>
    <dxf>
      <numFmt numFmtId="1" formatCode="0"/>
    </dxf>
    <dxf>
      <numFmt numFmtId="164" formatCode="_(* #,##0_);_(* \(#,##0\);_(* &quot;-&quot;??_);_(@_)"/>
    </dxf>
    <dxf>
      <numFmt numFmtId="164" formatCode="_(* #,##0_);_(* \(#,##0\);_(* &quot;-&quot;??_);_(@_)"/>
    </dxf>
    <dxf>
      <numFmt numFmtId="164" formatCode="_(* #,##0_);_(* \(#,##0\);_(* &quot;-&quot;??_);_(@_)"/>
    </dxf>
    <dxf>
      <numFmt numFmtId="164" formatCode="_(* #,##0_);_(* \(#,##0\);_(* &quot;-&quot;??_);_(@_)"/>
    </dxf>
  </dxfs>
  <tableStyles count="0" defaultTableStyle="TableStyleMedium2" defaultPivotStyle="PivotStyleLight16"/>
  <colors>
    <mruColors>
      <color rgb="FF758D67"/>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microsoft.com/office/2007/relationships/slicerCache" Target="slicerCaches/slicerCache2.xml"/><Relationship Id="rId11" Type="http://schemas.microsoft.com/office/2006/relationships/vbaProject" Target="vbaProject.bin"/><Relationship Id="rId5" Type="http://schemas.microsoft.com/office/2007/relationships/slicerCache" Target="slicerCaches/slicerCache1.xml"/><Relationship Id="rId10" Type="http://schemas.openxmlformats.org/officeDocument/2006/relationships/calcChain" Target="calcChain.xml"/><Relationship Id="rId4" Type="http://schemas.openxmlformats.org/officeDocument/2006/relationships/pivotCacheDefinition" Target="pivotCache/pivotCacheDefinition1.xml"/><Relationship Id="rId9" Type="http://schemas.openxmlformats.org/officeDocument/2006/relationships/sharedStrings" Target="sharedString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3" Type="http://schemas.openxmlformats.org/officeDocument/2006/relationships/chartUserShapes" Target="../drawings/drawing2.xml"/><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Ex1.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9.4004088764812907E-2"/>
          <c:y val="0.11028169902291086"/>
          <c:w val="0.85219685039370074"/>
          <c:h val="0.61847732575094783"/>
        </c:manualLayout>
      </c:layout>
      <c:barChart>
        <c:barDir val="col"/>
        <c:grouping val="stacked"/>
        <c:varyColors val="0"/>
        <c:dLbls>
          <c:showLegendKey val="0"/>
          <c:showVal val="0"/>
          <c:showCatName val="0"/>
          <c:showSerName val="0"/>
          <c:showPercent val="0"/>
          <c:showBubbleSize val="0"/>
        </c:dLbls>
        <c:gapWidth val="219"/>
        <c:overlap val="100"/>
        <c:axId val="38929024"/>
        <c:axId val="48727808"/>
      </c:barChart>
      <c:catAx>
        <c:axId val="38929024"/>
        <c:scaling>
          <c:orientation val="minMax"/>
        </c:scaling>
        <c:delete val="1"/>
        <c:axPos val="b"/>
        <c:numFmt formatCode="General" sourceLinked="1"/>
        <c:majorTickMark val="none"/>
        <c:minorTickMark val="none"/>
        <c:tickLblPos val="nextTo"/>
        <c:crossAx val="48727808"/>
        <c:crosses val="autoZero"/>
        <c:auto val="1"/>
        <c:lblAlgn val="ctr"/>
        <c:lblOffset val="100"/>
        <c:noMultiLvlLbl val="0"/>
      </c:catAx>
      <c:valAx>
        <c:axId val="48727808"/>
        <c:scaling>
          <c:orientation val="minMax"/>
        </c:scaling>
        <c:delete val="1"/>
        <c:axPos val="l"/>
        <c:numFmt formatCode="0" sourceLinked="1"/>
        <c:majorTickMark val="none"/>
        <c:minorTickMark val="none"/>
        <c:tickLblPos val="nextTo"/>
        <c:crossAx val="38929024"/>
        <c:crosses val="autoZero"/>
        <c:crossBetween val="between"/>
      </c:valAx>
      <c:spPr>
        <a:noFill/>
        <a:ln w="25400">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b="1"/>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8"/>
    </mc:Choice>
    <mc:Fallback>
      <c:style val="8"/>
    </mc:Fallback>
  </mc:AlternateContent>
  <c:chart>
    <c:autoTitleDeleted val="1"/>
    <c:plotArea>
      <c:layout>
        <c:manualLayout>
          <c:layoutTarget val="inner"/>
          <c:xMode val="edge"/>
          <c:yMode val="edge"/>
          <c:x val="0.28542763659874365"/>
          <c:y val="0.2110991541995591"/>
          <c:w val="0.59278177470419013"/>
          <c:h val="0.78444729872986507"/>
        </c:manualLayout>
      </c:layout>
      <c:barChart>
        <c:barDir val="bar"/>
        <c:grouping val="clustered"/>
        <c:varyColors val="0"/>
        <c:ser>
          <c:idx val="0"/>
          <c:order val="0"/>
          <c:spPr>
            <a:solidFill>
              <a:srgbClr val="758D67"/>
            </a:solidFill>
            <a:ln>
              <a:noFill/>
            </a:ln>
            <a:effectLst/>
          </c:spPr>
          <c:invertIfNegative val="0"/>
          <c:dLbls>
            <c:spPr>
              <a:noFill/>
              <a:ln>
                <a:noFill/>
              </a:ln>
              <a:effectLst/>
            </c:spPr>
            <c:txPr>
              <a:bodyPr rot="0" spcFirstLastPara="1" vertOverflow="ellipsis" vert="horz" wrap="square" anchor="ctr" anchorCtr="1"/>
              <a:lstStyle/>
              <a:p>
                <a:pPr>
                  <a:defRPr sz="1200" b="1" i="0" u="none" strike="noStrike" kern="1200" baseline="0">
                    <a:solidFill>
                      <a:srgbClr val="FFFF00"/>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Pivot_tables!$H$27:$H$36</c:f>
              <c:strCache>
                <c:ptCount val="10"/>
                <c:pt idx="0">
                  <c:v>Router</c:v>
                </c:pt>
                <c:pt idx="1">
                  <c:v>External Hard Drive</c:v>
                </c:pt>
                <c:pt idx="2">
                  <c:v>Bluetooth Speaker</c:v>
                </c:pt>
                <c:pt idx="3">
                  <c:v>Desk Lamp</c:v>
                </c:pt>
                <c:pt idx="4">
                  <c:v>Tablet</c:v>
                </c:pt>
                <c:pt idx="5">
                  <c:v>Portable SSD</c:v>
                </c:pt>
                <c:pt idx="6">
                  <c:v>Headphones</c:v>
                </c:pt>
                <c:pt idx="7">
                  <c:v>Printer</c:v>
                </c:pt>
                <c:pt idx="8">
                  <c:v>Laptop</c:v>
                </c:pt>
                <c:pt idx="9">
                  <c:v>Keyboard</c:v>
                </c:pt>
              </c:strCache>
            </c:strRef>
          </c:cat>
          <c:val>
            <c:numRef>
              <c:f>Pivot_tables!$I$27:$I$36</c:f>
              <c:numCache>
                <c:formatCode>_(* #\,##0_);_(* \(#\,##0\);_(* "-"??_);_(@_)</c:formatCode>
                <c:ptCount val="10"/>
                <c:pt idx="0">
                  <c:v>133188.24999999997</c:v>
                </c:pt>
                <c:pt idx="1">
                  <c:v>114197.98999999999</c:v>
                </c:pt>
                <c:pt idx="2">
                  <c:v>109271.89</c:v>
                </c:pt>
                <c:pt idx="3">
                  <c:v>102458.74999999999</c:v>
                </c:pt>
                <c:pt idx="4">
                  <c:v>98651.650000000009</c:v>
                </c:pt>
                <c:pt idx="5">
                  <c:v>93719.87999999999</c:v>
                </c:pt>
                <c:pt idx="6">
                  <c:v>90446.549999999988</c:v>
                </c:pt>
                <c:pt idx="7">
                  <c:v>82443.009999999995</c:v>
                </c:pt>
                <c:pt idx="8">
                  <c:v>77913</c:v>
                </c:pt>
                <c:pt idx="9">
                  <c:v>76293</c:v>
                </c:pt>
              </c:numCache>
            </c:numRef>
          </c:val>
          <c:extLst>
            <c:ext xmlns:c16="http://schemas.microsoft.com/office/drawing/2014/chart" uri="{C3380CC4-5D6E-409C-BE32-E72D297353CC}">
              <c16:uniqueId val="{00000000-BE4F-4EFD-B62D-802F8329F4EE}"/>
            </c:ext>
          </c:extLst>
        </c:ser>
        <c:dLbls>
          <c:showLegendKey val="0"/>
          <c:showVal val="0"/>
          <c:showCatName val="0"/>
          <c:showSerName val="0"/>
          <c:showPercent val="0"/>
          <c:showBubbleSize val="0"/>
        </c:dLbls>
        <c:gapWidth val="70"/>
        <c:axId val="48728288"/>
        <c:axId val="37579728"/>
      </c:barChart>
      <c:catAx>
        <c:axId val="48728288"/>
        <c:scaling>
          <c:orientation val="maxMin"/>
        </c:scaling>
        <c:delete val="0"/>
        <c:axPos val="l"/>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1" i="0" u="none" strike="noStrike" kern="1200" baseline="0">
                <a:solidFill>
                  <a:schemeClr val="tx1">
                    <a:lumMod val="65000"/>
                    <a:lumOff val="35000"/>
                  </a:schemeClr>
                </a:solidFill>
                <a:latin typeface="+mn-lt"/>
                <a:ea typeface="+mn-ea"/>
                <a:cs typeface="+mn-cs"/>
              </a:defRPr>
            </a:pPr>
            <a:endParaRPr lang="en-US"/>
          </a:p>
        </c:txPr>
        <c:crossAx val="37579728"/>
        <c:crosses val="autoZero"/>
        <c:auto val="1"/>
        <c:lblAlgn val="ctr"/>
        <c:lblOffset val="100"/>
        <c:noMultiLvlLbl val="0"/>
      </c:catAx>
      <c:valAx>
        <c:axId val="37579728"/>
        <c:scaling>
          <c:orientation val="minMax"/>
        </c:scaling>
        <c:delete val="0"/>
        <c:axPos val="t"/>
        <c:numFmt formatCode="_(* #\,##0_);_(* \(#\,##0\);_(* &quot;-&quot;??_);_(@_)" sourceLinked="1"/>
        <c:majorTickMark val="out"/>
        <c:minorTickMark val="none"/>
        <c:tickLblPos val="nextTo"/>
        <c:spPr>
          <a:noFill/>
          <a:ln>
            <a:noFill/>
          </a:ln>
          <a:effectLst/>
        </c:spPr>
        <c:txPr>
          <a:bodyPr rot="-60000000" spcFirstLastPara="1" vertOverflow="ellipsis" vert="horz" wrap="square" anchor="ctr" anchorCtr="1"/>
          <a:lstStyle/>
          <a:p>
            <a:pPr>
              <a:defRPr sz="1200" b="1" i="0" u="none" strike="noStrike" kern="1200" baseline="0">
                <a:solidFill>
                  <a:schemeClr val="tx1">
                    <a:lumMod val="65000"/>
                    <a:lumOff val="35000"/>
                  </a:schemeClr>
                </a:solidFill>
                <a:latin typeface="+mn-lt"/>
                <a:ea typeface="+mn-ea"/>
                <a:cs typeface="+mn-cs"/>
              </a:defRPr>
            </a:pPr>
            <a:endParaRPr lang="en-US"/>
          </a:p>
        </c:txPr>
        <c:crossAx val="48728288"/>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12700" cap="flat" cmpd="sng" algn="ctr">
      <a:noFill/>
      <a:round/>
    </a:ln>
    <a:effectLst/>
  </c:spPr>
  <c:txPr>
    <a:bodyPr/>
    <a:lstStyle/>
    <a:p>
      <a:pPr>
        <a:defRPr b="1"/>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doughnutChart>
        <c:varyColors val="1"/>
        <c:ser>
          <c:idx val="0"/>
          <c:order val="0"/>
          <c:spPr>
            <a:ln w="19050"/>
          </c:spPr>
          <c:explosion val="4"/>
          <c:dPt>
            <c:idx val="0"/>
            <c:bubble3D val="0"/>
            <c:spPr>
              <a:solidFill>
                <a:schemeClr val="accent1"/>
              </a:solidFill>
              <a:ln w="19050">
                <a:solidFill>
                  <a:schemeClr val="lt1"/>
                </a:solidFill>
              </a:ln>
              <a:effectLst/>
            </c:spPr>
            <c:extLst>
              <c:ext xmlns:c16="http://schemas.microsoft.com/office/drawing/2014/chart" uri="{C3380CC4-5D6E-409C-BE32-E72D297353CC}">
                <c16:uniqueId val="{00000001-C8EF-4A56-B577-BE4797EF72F2}"/>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C8EF-4A56-B577-BE4797EF72F2}"/>
              </c:ext>
            </c:extLst>
          </c:dPt>
          <c:dPt>
            <c:idx val="2"/>
            <c:bubble3D val="0"/>
            <c:explosion val="0"/>
            <c:spPr>
              <a:solidFill>
                <a:schemeClr val="accent6">
                  <a:lumMod val="60000"/>
                  <a:lumOff val="40000"/>
                </a:schemeClr>
              </a:solidFill>
              <a:ln w="19050">
                <a:solidFill>
                  <a:schemeClr val="lt1"/>
                </a:solidFill>
              </a:ln>
              <a:effectLst/>
            </c:spPr>
            <c:extLst>
              <c:ext xmlns:c16="http://schemas.microsoft.com/office/drawing/2014/chart" uri="{C3380CC4-5D6E-409C-BE32-E72D297353CC}">
                <c16:uniqueId val="{00000005-C8EF-4A56-B577-BE4797EF72F2}"/>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C8EF-4A56-B577-BE4797EF72F2}"/>
              </c:ext>
            </c:extLst>
          </c:dPt>
          <c:dLbls>
            <c:numFmt formatCode="_(* #,##0_);_(* \(#,##0\);_(* &quot;-&quot;??_);_(@_)" sourceLinked="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solidFill>
                    <a:latin typeface="+mn-lt"/>
                    <a:ea typeface="+mn-ea"/>
                    <a:cs typeface="+mn-cs"/>
                  </a:defRPr>
                </a:pPr>
                <a:endParaRPr lang="en-US"/>
              </a:p>
            </c:txPr>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Pivot_tables!$L$11:$L$14</c:f>
              <c:strCache>
                <c:ptCount val="4"/>
                <c:pt idx="0">
                  <c:v>Horn of Africa</c:v>
                </c:pt>
                <c:pt idx="1">
                  <c:v>Levant</c:v>
                </c:pt>
                <c:pt idx="2">
                  <c:v>Middle East</c:v>
                </c:pt>
                <c:pt idx="3">
                  <c:v>North Africa</c:v>
                </c:pt>
              </c:strCache>
            </c:strRef>
          </c:cat>
          <c:val>
            <c:numRef>
              <c:f>Pivot_tables!$M$11:$M$14</c:f>
              <c:numCache>
                <c:formatCode>_(* #\,##0_);_(* \(#\,##0\);_(* "-"??_);_(@_)</c:formatCode>
                <c:ptCount val="4"/>
                <c:pt idx="0">
                  <c:v>93475.81</c:v>
                </c:pt>
                <c:pt idx="1">
                  <c:v>215999.92999999996</c:v>
                </c:pt>
                <c:pt idx="2">
                  <c:v>364966.80000000005</c:v>
                </c:pt>
                <c:pt idx="3">
                  <c:v>730963.9700000002</c:v>
                </c:pt>
              </c:numCache>
            </c:numRef>
          </c:val>
          <c:extLst>
            <c:ext xmlns:c16="http://schemas.microsoft.com/office/drawing/2014/chart" uri="{C3380CC4-5D6E-409C-BE32-E72D297353CC}">
              <c16:uniqueId val="{00000008-C8EF-4A56-B577-BE4797EF72F2}"/>
            </c:ext>
          </c:extLst>
        </c:ser>
        <c:dLbls>
          <c:showLegendKey val="0"/>
          <c:showVal val="0"/>
          <c:showCatName val="0"/>
          <c:showSerName val="0"/>
          <c:showPercent val="0"/>
          <c:showBubbleSize val="0"/>
          <c:showLeaderLines val="1"/>
        </c:dLbls>
        <c:firstSliceAng val="0"/>
        <c:holeSize val="50"/>
      </c:doughnutChart>
      <c:spPr>
        <a:noFill/>
        <a:ln>
          <a:noFill/>
        </a:ln>
        <a:effectLst/>
      </c:spPr>
    </c:plotArea>
    <c:legend>
      <c:legendPos val="r"/>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9.9569335839940418E-2"/>
          <c:y val="8.5923745089055051E-2"/>
          <c:w val="0.87431763071138602"/>
          <c:h val="0.74085353766763828"/>
        </c:manualLayout>
      </c:layout>
      <c:areaChart>
        <c:grouping val="stacked"/>
        <c:varyColors val="0"/>
        <c:ser>
          <c:idx val="0"/>
          <c:order val="0"/>
          <c:tx>
            <c:strRef>
              <c:f>Pivot_tables!$R$3</c:f>
              <c:strCache>
                <c:ptCount val="1"/>
                <c:pt idx="0">
                  <c:v>Row Labels</c:v>
                </c:pt>
              </c:strCache>
            </c:strRef>
          </c:tx>
          <c:spPr>
            <a:solidFill>
              <a:schemeClr val="accent2"/>
            </a:solidFill>
            <a:ln>
              <a:noFill/>
            </a:ln>
            <a:effectLst/>
          </c:spPr>
          <c:val>
            <c:numRef>
              <c:f>Pivot_tables!$R$4:$R$42</c:f>
              <c:numCache>
                <c:formatCode>General</c:formatCode>
                <c:ptCount val="39"/>
                <c:pt idx="0">
                  <c:v>1</c:v>
                </c:pt>
                <c:pt idx="1">
                  <c:v>2</c:v>
                </c:pt>
                <c:pt idx="2">
                  <c:v>5</c:v>
                </c:pt>
                <c:pt idx="3">
                  <c:v>6</c:v>
                </c:pt>
                <c:pt idx="4">
                  <c:v>7</c:v>
                </c:pt>
                <c:pt idx="5">
                  <c:v>9</c:v>
                </c:pt>
                <c:pt idx="6">
                  <c:v>10</c:v>
                </c:pt>
                <c:pt idx="7">
                  <c:v>14</c:v>
                </c:pt>
                <c:pt idx="8">
                  <c:v>15</c:v>
                </c:pt>
                <c:pt idx="9">
                  <c:v>16</c:v>
                </c:pt>
                <c:pt idx="10">
                  <c:v>17</c:v>
                </c:pt>
                <c:pt idx="11">
                  <c:v>19</c:v>
                </c:pt>
                <c:pt idx="12">
                  <c:v>20</c:v>
                </c:pt>
                <c:pt idx="13">
                  <c:v>21</c:v>
                </c:pt>
                <c:pt idx="14">
                  <c:v>22</c:v>
                </c:pt>
                <c:pt idx="15">
                  <c:v>23</c:v>
                </c:pt>
                <c:pt idx="16">
                  <c:v>24</c:v>
                </c:pt>
                <c:pt idx="17">
                  <c:v>25</c:v>
                </c:pt>
                <c:pt idx="18">
                  <c:v>26</c:v>
                </c:pt>
                <c:pt idx="19">
                  <c:v>27</c:v>
                </c:pt>
                <c:pt idx="20">
                  <c:v>28</c:v>
                </c:pt>
                <c:pt idx="21">
                  <c:v>29</c:v>
                </c:pt>
                <c:pt idx="22">
                  <c:v>30</c:v>
                </c:pt>
                <c:pt idx="23">
                  <c:v>31</c:v>
                </c:pt>
                <c:pt idx="24">
                  <c:v>32</c:v>
                </c:pt>
                <c:pt idx="25">
                  <c:v>36</c:v>
                </c:pt>
                <c:pt idx="26">
                  <c:v>38</c:v>
                </c:pt>
                <c:pt idx="27">
                  <c:v>39</c:v>
                </c:pt>
                <c:pt idx="28">
                  <c:v>40</c:v>
                </c:pt>
                <c:pt idx="29">
                  <c:v>41</c:v>
                </c:pt>
                <c:pt idx="30">
                  <c:v>42</c:v>
                </c:pt>
                <c:pt idx="31">
                  <c:v>43</c:v>
                </c:pt>
                <c:pt idx="32">
                  <c:v>44</c:v>
                </c:pt>
                <c:pt idx="33">
                  <c:v>45</c:v>
                </c:pt>
                <c:pt idx="34">
                  <c:v>46</c:v>
                </c:pt>
                <c:pt idx="35">
                  <c:v>47</c:v>
                </c:pt>
                <c:pt idx="36">
                  <c:v>48</c:v>
                </c:pt>
                <c:pt idx="37">
                  <c:v>50</c:v>
                </c:pt>
                <c:pt idx="38">
                  <c:v>51</c:v>
                </c:pt>
              </c:numCache>
            </c:numRef>
          </c:val>
          <c:extLst>
            <c:ext xmlns:c16="http://schemas.microsoft.com/office/drawing/2014/chart" uri="{C3380CC4-5D6E-409C-BE32-E72D297353CC}">
              <c16:uniqueId val="{00000000-3F44-4C80-82EC-A7EC82F5F3F5}"/>
            </c:ext>
          </c:extLst>
        </c:ser>
        <c:ser>
          <c:idx val="1"/>
          <c:order val="1"/>
          <c:tx>
            <c:strRef>
              <c:f>Pivot_tables!$S$3</c:f>
              <c:strCache>
                <c:ptCount val="1"/>
                <c:pt idx="0">
                  <c:v>Sum of Sales</c:v>
                </c:pt>
              </c:strCache>
            </c:strRef>
          </c:tx>
          <c:spPr>
            <a:gradFill flip="none" rotWithShape="1">
              <a:gsLst>
                <a:gs pos="0">
                  <a:schemeClr val="accent6">
                    <a:lumMod val="41000"/>
                    <a:lumOff val="59000"/>
                  </a:schemeClr>
                </a:gs>
                <a:gs pos="46000">
                  <a:schemeClr val="accent6">
                    <a:lumMod val="95000"/>
                    <a:lumOff val="5000"/>
                  </a:schemeClr>
                </a:gs>
                <a:gs pos="100000">
                  <a:schemeClr val="accent6">
                    <a:lumMod val="60000"/>
                  </a:schemeClr>
                </a:gs>
              </a:gsLst>
              <a:path path="circle">
                <a:fillToRect l="50000" t="130000" r="50000" b="-30000"/>
              </a:path>
              <a:tileRect/>
            </a:gradFill>
            <a:ln>
              <a:solidFill>
                <a:srgbClr val="FFFF00"/>
              </a:solidFill>
            </a:ln>
            <a:effectLst/>
          </c:spPr>
          <c:val>
            <c:numRef>
              <c:f>Pivot_tables!$S$4:$S$42</c:f>
              <c:numCache>
                <c:formatCode>_(* #\,##0_);_(* \(#\,##0\);_(* "-"??_);_(@_)</c:formatCode>
                <c:ptCount val="39"/>
                <c:pt idx="0">
                  <c:v>8104.52</c:v>
                </c:pt>
                <c:pt idx="1">
                  <c:v>32573.07</c:v>
                </c:pt>
                <c:pt idx="2">
                  <c:v>5341.95</c:v>
                </c:pt>
                <c:pt idx="3">
                  <c:v>10889.25</c:v>
                </c:pt>
                <c:pt idx="4">
                  <c:v>4858.3499999999995</c:v>
                </c:pt>
                <c:pt idx="5">
                  <c:v>2364.8000000000002</c:v>
                </c:pt>
                <c:pt idx="6">
                  <c:v>73428.06</c:v>
                </c:pt>
                <c:pt idx="7">
                  <c:v>48524.369999999995</c:v>
                </c:pt>
                <c:pt idx="8">
                  <c:v>27503.5</c:v>
                </c:pt>
                <c:pt idx="9">
                  <c:v>63035.6</c:v>
                </c:pt>
                <c:pt idx="10">
                  <c:v>42211.44</c:v>
                </c:pt>
                <c:pt idx="11">
                  <c:v>42854.05</c:v>
                </c:pt>
                <c:pt idx="12">
                  <c:v>48980.51</c:v>
                </c:pt>
                <c:pt idx="13">
                  <c:v>12459.98</c:v>
                </c:pt>
                <c:pt idx="14">
                  <c:v>15722.91</c:v>
                </c:pt>
                <c:pt idx="15">
                  <c:v>26395.84</c:v>
                </c:pt>
                <c:pt idx="16">
                  <c:v>28944.21</c:v>
                </c:pt>
                <c:pt idx="17">
                  <c:v>58732.18</c:v>
                </c:pt>
                <c:pt idx="18">
                  <c:v>46466.869999999995</c:v>
                </c:pt>
                <c:pt idx="19">
                  <c:v>27303.4</c:v>
                </c:pt>
                <c:pt idx="20">
                  <c:v>22301.739999999998</c:v>
                </c:pt>
                <c:pt idx="21">
                  <c:v>71390.76999999999</c:v>
                </c:pt>
                <c:pt idx="22">
                  <c:v>39885.11</c:v>
                </c:pt>
                <c:pt idx="23">
                  <c:v>74540.19</c:v>
                </c:pt>
                <c:pt idx="24">
                  <c:v>67998.080000000002</c:v>
                </c:pt>
                <c:pt idx="25">
                  <c:v>18257.439999999999</c:v>
                </c:pt>
                <c:pt idx="26">
                  <c:v>49971.24</c:v>
                </c:pt>
                <c:pt idx="27">
                  <c:v>84499.66</c:v>
                </c:pt>
                <c:pt idx="28">
                  <c:v>15986.720000000001</c:v>
                </c:pt>
                <c:pt idx="29">
                  <c:v>30980.519999999997</c:v>
                </c:pt>
                <c:pt idx="30">
                  <c:v>34104.870000000003</c:v>
                </c:pt>
                <c:pt idx="31">
                  <c:v>32936.400000000001</c:v>
                </c:pt>
                <c:pt idx="32">
                  <c:v>4225.32</c:v>
                </c:pt>
                <c:pt idx="33">
                  <c:v>16812.07</c:v>
                </c:pt>
                <c:pt idx="34">
                  <c:v>25028.19</c:v>
                </c:pt>
                <c:pt idx="35">
                  <c:v>54305.520000000004</c:v>
                </c:pt>
                <c:pt idx="36">
                  <c:v>98060.78</c:v>
                </c:pt>
                <c:pt idx="37">
                  <c:v>7727.6099999999988</c:v>
                </c:pt>
                <c:pt idx="38">
                  <c:v>29699.42</c:v>
                </c:pt>
              </c:numCache>
            </c:numRef>
          </c:val>
          <c:extLst>
            <c:ext xmlns:c16="http://schemas.microsoft.com/office/drawing/2014/chart" uri="{C3380CC4-5D6E-409C-BE32-E72D297353CC}">
              <c16:uniqueId val="{00000001-3F44-4C80-82EC-A7EC82F5F3F5}"/>
            </c:ext>
          </c:extLst>
        </c:ser>
        <c:dLbls>
          <c:showLegendKey val="0"/>
          <c:showVal val="0"/>
          <c:showCatName val="0"/>
          <c:showSerName val="0"/>
          <c:showPercent val="0"/>
          <c:showBubbleSize val="0"/>
        </c:dLbls>
        <c:axId val="1777031136"/>
        <c:axId val="1777055616"/>
      </c:areaChart>
      <c:catAx>
        <c:axId val="1777031136"/>
        <c:scaling>
          <c:orientation val="minMax"/>
        </c:scaling>
        <c:delete val="0"/>
        <c:axPos val="b"/>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50" b="1" i="0" u="none" strike="noStrike" kern="1200" baseline="0">
                <a:solidFill>
                  <a:schemeClr val="tx1">
                    <a:lumMod val="65000"/>
                    <a:lumOff val="35000"/>
                  </a:schemeClr>
                </a:solidFill>
                <a:latin typeface="+mn-lt"/>
                <a:ea typeface="+mn-ea"/>
                <a:cs typeface="+mn-cs"/>
              </a:defRPr>
            </a:pPr>
            <a:endParaRPr lang="en-US"/>
          </a:p>
        </c:txPr>
        <c:crossAx val="1777055616"/>
        <c:crosses val="autoZero"/>
        <c:auto val="1"/>
        <c:lblAlgn val="ctr"/>
        <c:lblOffset val="100"/>
        <c:noMultiLvlLbl val="0"/>
      </c:catAx>
      <c:valAx>
        <c:axId val="1777055616"/>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1050" b="1" i="0" u="none" strike="noStrike" kern="1200" baseline="0">
                <a:solidFill>
                  <a:schemeClr val="tx1">
                    <a:lumMod val="65000"/>
                    <a:lumOff val="35000"/>
                  </a:schemeClr>
                </a:solidFill>
                <a:latin typeface="+mn-lt"/>
                <a:ea typeface="+mn-ea"/>
                <a:cs typeface="+mn-cs"/>
              </a:defRPr>
            </a:pPr>
            <a:endParaRPr lang="en-US"/>
          </a:p>
        </c:txPr>
        <c:crossAx val="1777031136"/>
        <c:crosses val="autoZero"/>
        <c:crossBetween val="midCat"/>
      </c:valAx>
      <c:spPr>
        <a:noFill/>
        <a:ln>
          <a:noFill/>
        </a:ln>
        <a:effectLst/>
      </c:spPr>
    </c:plotArea>
    <c:plotVisOnly val="1"/>
    <c:dispBlanksAs val="zero"/>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sz="1050" b="1"/>
      </a:pPr>
      <a:endParaRPr lang="en-US"/>
    </a:p>
  </c:txPr>
  <c:printSettings>
    <c:headerFooter/>
    <c:pageMargins b="0.75" l="0.7" r="0.7" t="0.75" header="0.3" footer="0.3"/>
    <c:pageSetup/>
  </c:printSettings>
  <c:userShapes r:id="rId3"/>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0"/>
        <c:ser>
          <c:idx val="0"/>
          <c:order val="0"/>
          <c:tx>
            <c:strRef>
              <c:f>Pivot_tables!$D$17</c:f>
              <c:strCache>
                <c:ptCount val="1"/>
                <c:pt idx="0">
                  <c:v>Horn of Africa</c:v>
                </c:pt>
              </c:strCache>
            </c:strRef>
          </c:tx>
          <c:spPr>
            <a:solidFill>
              <a:schemeClr val="accent1"/>
            </a:solidFill>
            <a:ln>
              <a:noFill/>
            </a:ln>
            <a:effectLst/>
          </c:spPr>
          <c:invertIfNegative val="0"/>
          <c:cat>
            <c:strRef>
              <c:f>Pivot_tables!$C$18:$C$29</c:f>
              <c:strCache>
                <c:ptCount val="12"/>
                <c:pt idx="0">
                  <c:v>January</c:v>
                </c:pt>
                <c:pt idx="1">
                  <c:v>February</c:v>
                </c:pt>
                <c:pt idx="2">
                  <c:v>March</c:v>
                </c:pt>
                <c:pt idx="3">
                  <c:v>April</c:v>
                </c:pt>
                <c:pt idx="4">
                  <c:v>May</c:v>
                </c:pt>
                <c:pt idx="5">
                  <c:v>June</c:v>
                </c:pt>
                <c:pt idx="6">
                  <c:v>July</c:v>
                </c:pt>
                <c:pt idx="7">
                  <c:v>August</c:v>
                </c:pt>
                <c:pt idx="8">
                  <c:v>September</c:v>
                </c:pt>
                <c:pt idx="9">
                  <c:v>October</c:v>
                </c:pt>
                <c:pt idx="10">
                  <c:v>November</c:v>
                </c:pt>
                <c:pt idx="11">
                  <c:v>December</c:v>
                </c:pt>
              </c:strCache>
            </c:strRef>
          </c:cat>
          <c:val>
            <c:numRef>
              <c:f>Pivot_tables!$D$18:$D$29</c:f>
              <c:numCache>
                <c:formatCode>General</c:formatCode>
                <c:ptCount val="12"/>
                <c:pt idx="0">
                  <c:v>0</c:v>
                </c:pt>
                <c:pt idx="1">
                  <c:v>0</c:v>
                </c:pt>
                <c:pt idx="2">
                  <c:v>0</c:v>
                </c:pt>
                <c:pt idx="3">
                  <c:v>0</c:v>
                </c:pt>
                <c:pt idx="4">
                  <c:v>0</c:v>
                </c:pt>
                <c:pt idx="5">
                  <c:v>0</c:v>
                </c:pt>
                <c:pt idx="6">
                  <c:v>31943.269999999997</c:v>
                </c:pt>
                <c:pt idx="7">
                  <c:v>0</c:v>
                </c:pt>
                <c:pt idx="8">
                  <c:v>61532.54</c:v>
                </c:pt>
                <c:pt idx="9">
                  <c:v>0</c:v>
                </c:pt>
                <c:pt idx="10">
                  <c:v>0</c:v>
                </c:pt>
                <c:pt idx="11">
                  <c:v>0</c:v>
                </c:pt>
              </c:numCache>
            </c:numRef>
          </c:val>
          <c:extLst>
            <c:ext xmlns:c16="http://schemas.microsoft.com/office/drawing/2014/chart" uri="{C3380CC4-5D6E-409C-BE32-E72D297353CC}">
              <c16:uniqueId val="{00000000-752C-4DFD-A39C-A13DB805CA78}"/>
            </c:ext>
          </c:extLst>
        </c:ser>
        <c:ser>
          <c:idx val="1"/>
          <c:order val="1"/>
          <c:tx>
            <c:strRef>
              <c:f>Pivot_tables!$E$17</c:f>
              <c:strCache>
                <c:ptCount val="1"/>
                <c:pt idx="0">
                  <c:v>Levant</c:v>
                </c:pt>
              </c:strCache>
            </c:strRef>
          </c:tx>
          <c:spPr>
            <a:solidFill>
              <a:schemeClr val="accent2"/>
            </a:solidFill>
            <a:ln>
              <a:noFill/>
            </a:ln>
            <a:effectLst/>
          </c:spPr>
          <c:invertIfNegative val="0"/>
          <c:cat>
            <c:strRef>
              <c:f>Pivot_tables!$C$18:$C$29</c:f>
              <c:strCache>
                <c:ptCount val="12"/>
                <c:pt idx="0">
                  <c:v>January</c:v>
                </c:pt>
                <c:pt idx="1">
                  <c:v>February</c:v>
                </c:pt>
                <c:pt idx="2">
                  <c:v>March</c:v>
                </c:pt>
                <c:pt idx="3">
                  <c:v>April</c:v>
                </c:pt>
                <c:pt idx="4">
                  <c:v>May</c:v>
                </c:pt>
                <c:pt idx="5">
                  <c:v>June</c:v>
                </c:pt>
                <c:pt idx="6">
                  <c:v>July</c:v>
                </c:pt>
                <c:pt idx="7">
                  <c:v>August</c:v>
                </c:pt>
                <c:pt idx="8">
                  <c:v>September</c:v>
                </c:pt>
                <c:pt idx="9">
                  <c:v>October</c:v>
                </c:pt>
                <c:pt idx="10">
                  <c:v>November</c:v>
                </c:pt>
                <c:pt idx="11">
                  <c:v>December</c:v>
                </c:pt>
              </c:strCache>
            </c:strRef>
          </c:cat>
          <c:val>
            <c:numRef>
              <c:f>Pivot_tables!$E$18:$E$29</c:f>
              <c:numCache>
                <c:formatCode>General</c:formatCode>
                <c:ptCount val="12"/>
                <c:pt idx="0">
                  <c:v>6316.05</c:v>
                </c:pt>
                <c:pt idx="1">
                  <c:v>1449</c:v>
                </c:pt>
                <c:pt idx="2">
                  <c:v>0</c:v>
                </c:pt>
                <c:pt idx="3">
                  <c:v>107187.77</c:v>
                </c:pt>
                <c:pt idx="4">
                  <c:v>57018.810000000005</c:v>
                </c:pt>
                <c:pt idx="5">
                  <c:v>44028.3</c:v>
                </c:pt>
                <c:pt idx="6">
                  <c:v>0</c:v>
                </c:pt>
                <c:pt idx="7">
                  <c:v>0</c:v>
                </c:pt>
                <c:pt idx="8">
                  <c:v>0</c:v>
                </c:pt>
                <c:pt idx="9">
                  <c:v>0</c:v>
                </c:pt>
                <c:pt idx="10">
                  <c:v>0</c:v>
                </c:pt>
                <c:pt idx="11">
                  <c:v>0</c:v>
                </c:pt>
              </c:numCache>
            </c:numRef>
          </c:val>
          <c:extLst>
            <c:ext xmlns:c16="http://schemas.microsoft.com/office/drawing/2014/chart" uri="{C3380CC4-5D6E-409C-BE32-E72D297353CC}">
              <c16:uniqueId val="{00000001-752C-4DFD-A39C-A13DB805CA78}"/>
            </c:ext>
          </c:extLst>
        </c:ser>
        <c:ser>
          <c:idx val="2"/>
          <c:order val="2"/>
          <c:tx>
            <c:strRef>
              <c:f>Pivot_tables!$F$17</c:f>
              <c:strCache>
                <c:ptCount val="1"/>
                <c:pt idx="0">
                  <c:v>Middle East</c:v>
                </c:pt>
              </c:strCache>
            </c:strRef>
          </c:tx>
          <c:spPr>
            <a:solidFill>
              <a:schemeClr val="accent3"/>
            </a:solidFill>
            <a:ln>
              <a:noFill/>
            </a:ln>
            <a:effectLst/>
          </c:spPr>
          <c:invertIfNegative val="0"/>
          <c:cat>
            <c:strRef>
              <c:f>Pivot_tables!$C$18:$C$29</c:f>
              <c:strCache>
                <c:ptCount val="12"/>
                <c:pt idx="0">
                  <c:v>January</c:v>
                </c:pt>
                <c:pt idx="1">
                  <c:v>February</c:v>
                </c:pt>
                <c:pt idx="2">
                  <c:v>March</c:v>
                </c:pt>
                <c:pt idx="3">
                  <c:v>April</c:v>
                </c:pt>
                <c:pt idx="4">
                  <c:v>May</c:v>
                </c:pt>
                <c:pt idx="5">
                  <c:v>June</c:v>
                </c:pt>
                <c:pt idx="6">
                  <c:v>July</c:v>
                </c:pt>
                <c:pt idx="7">
                  <c:v>August</c:v>
                </c:pt>
                <c:pt idx="8">
                  <c:v>September</c:v>
                </c:pt>
                <c:pt idx="9">
                  <c:v>October</c:v>
                </c:pt>
                <c:pt idx="10">
                  <c:v>November</c:v>
                </c:pt>
                <c:pt idx="11">
                  <c:v>December</c:v>
                </c:pt>
              </c:strCache>
            </c:strRef>
          </c:cat>
          <c:val>
            <c:numRef>
              <c:f>Pivot_tables!$F$18:$F$29</c:f>
              <c:numCache>
                <c:formatCode>General</c:formatCode>
                <c:ptCount val="12"/>
                <c:pt idx="0">
                  <c:v>8104.52</c:v>
                </c:pt>
                <c:pt idx="1">
                  <c:v>14298.599999999999</c:v>
                </c:pt>
                <c:pt idx="2">
                  <c:v>2364.8000000000002</c:v>
                </c:pt>
                <c:pt idx="3">
                  <c:v>41115.82</c:v>
                </c:pt>
                <c:pt idx="4">
                  <c:v>44386.62</c:v>
                </c:pt>
                <c:pt idx="5">
                  <c:v>56329.919999999998</c:v>
                </c:pt>
                <c:pt idx="6">
                  <c:v>32470.95</c:v>
                </c:pt>
                <c:pt idx="7">
                  <c:v>46550</c:v>
                </c:pt>
                <c:pt idx="8">
                  <c:v>24293.119999999999</c:v>
                </c:pt>
                <c:pt idx="9">
                  <c:v>34104.870000000003</c:v>
                </c:pt>
                <c:pt idx="10">
                  <c:v>60036.22</c:v>
                </c:pt>
                <c:pt idx="11">
                  <c:v>911.36</c:v>
                </c:pt>
              </c:numCache>
            </c:numRef>
          </c:val>
          <c:extLst>
            <c:ext xmlns:c16="http://schemas.microsoft.com/office/drawing/2014/chart" uri="{C3380CC4-5D6E-409C-BE32-E72D297353CC}">
              <c16:uniqueId val="{00000002-752C-4DFD-A39C-A13DB805CA78}"/>
            </c:ext>
          </c:extLst>
        </c:ser>
        <c:ser>
          <c:idx val="3"/>
          <c:order val="3"/>
          <c:tx>
            <c:strRef>
              <c:f>Pivot_tables!$G$17</c:f>
              <c:strCache>
                <c:ptCount val="1"/>
                <c:pt idx="0">
                  <c:v>North Africa</c:v>
                </c:pt>
              </c:strCache>
            </c:strRef>
          </c:tx>
          <c:spPr>
            <a:solidFill>
              <a:schemeClr val="accent4"/>
            </a:solidFill>
            <a:ln>
              <a:noFill/>
            </a:ln>
            <a:effectLst/>
          </c:spPr>
          <c:invertIfNegative val="0"/>
          <c:cat>
            <c:strRef>
              <c:f>Pivot_tables!$C$18:$C$29</c:f>
              <c:strCache>
                <c:ptCount val="12"/>
                <c:pt idx="0">
                  <c:v>January</c:v>
                </c:pt>
                <c:pt idx="1">
                  <c:v>February</c:v>
                </c:pt>
                <c:pt idx="2">
                  <c:v>March</c:v>
                </c:pt>
                <c:pt idx="3">
                  <c:v>April</c:v>
                </c:pt>
                <c:pt idx="4">
                  <c:v>May</c:v>
                </c:pt>
                <c:pt idx="5">
                  <c:v>June</c:v>
                </c:pt>
                <c:pt idx="6">
                  <c:v>July</c:v>
                </c:pt>
                <c:pt idx="7">
                  <c:v>August</c:v>
                </c:pt>
                <c:pt idx="8">
                  <c:v>September</c:v>
                </c:pt>
                <c:pt idx="9">
                  <c:v>October</c:v>
                </c:pt>
                <c:pt idx="10">
                  <c:v>November</c:v>
                </c:pt>
                <c:pt idx="11">
                  <c:v>December</c:v>
                </c:pt>
              </c:strCache>
            </c:strRef>
          </c:cat>
          <c:val>
            <c:numRef>
              <c:f>Pivot_tables!$G$18:$G$29</c:f>
              <c:numCache>
                <c:formatCode>General</c:formatCode>
                <c:ptCount val="12"/>
                <c:pt idx="0">
                  <c:v>26257.02</c:v>
                </c:pt>
                <c:pt idx="1">
                  <c:v>5341.95</c:v>
                </c:pt>
                <c:pt idx="2">
                  <c:v>73428.06</c:v>
                </c:pt>
                <c:pt idx="3">
                  <c:v>32971.32</c:v>
                </c:pt>
                <c:pt idx="4">
                  <c:v>18612.02</c:v>
                </c:pt>
                <c:pt idx="5">
                  <c:v>60180.880000000005</c:v>
                </c:pt>
                <c:pt idx="6">
                  <c:v>124456.98999999999</c:v>
                </c:pt>
                <c:pt idx="7">
                  <c:v>67998.080000000002</c:v>
                </c:pt>
                <c:pt idx="8">
                  <c:v>82889.399999999994</c:v>
                </c:pt>
                <c:pt idx="9">
                  <c:v>63916.92</c:v>
                </c:pt>
                <c:pt idx="10">
                  <c:v>138395.66</c:v>
                </c:pt>
                <c:pt idx="11">
                  <c:v>36515.67</c:v>
                </c:pt>
              </c:numCache>
            </c:numRef>
          </c:val>
          <c:extLst>
            <c:ext xmlns:c16="http://schemas.microsoft.com/office/drawing/2014/chart" uri="{C3380CC4-5D6E-409C-BE32-E72D297353CC}">
              <c16:uniqueId val="{00000003-752C-4DFD-A39C-A13DB805CA78}"/>
            </c:ext>
          </c:extLst>
        </c:ser>
        <c:dLbls>
          <c:showLegendKey val="0"/>
          <c:showVal val="0"/>
          <c:showCatName val="0"/>
          <c:showSerName val="0"/>
          <c:showPercent val="0"/>
          <c:showBubbleSize val="0"/>
        </c:dLbls>
        <c:gapWidth val="219"/>
        <c:overlap val="-27"/>
        <c:axId val="176942608"/>
        <c:axId val="176941168"/>
      </c:barChart>
      <c:catAx>
        <c:axId val="17694260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1" i="0" u="none" strike="noStrike" kern="1200" baseline="0">
                <a:solidFill>
                  <a:schemeClr val="tx1">
                    <a:lumMod val="65000"/>
                    <a:lumOff val="35000"/>
                  </a:schemeClr>
                </a:solidFill>
                <a:latin typeface="+mn-lt"/>
                <a:ea typeface="+mn-ea"/>
                <a:cs typeface="+mn-cs"/>
              </a:defRPr>
            </a:pPr>
            <a:endParaRPr lang="en-US"/>
          </a:p>
        </c:txPr>
        <c:crossAx val="176941168"/>
        <c:crosses val="autoZero"/>
        <c:auto val="1"/>
        <c:lblAlgn val="ctr"/>
        <c:lblOffset val="100"/>
        <c:noMultiLvlLbl val="0"/>
      </c:catAx>
      <c:valAx>
        <c:axId val="17694116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1200" b="1" i="0" u="none" strike="noStrike" kern="1200" baseline="0">
                <a:solidFill>
                  <a:schemeClr val="tx1">
                    <a:lumMod val="65000"/>
                    <a:lumOff val="35000"/>
                  </a:schemeClr>
                </a:solidFill>
                <a:latin typeface="+mn-lt"/>
                <a:ea typeface="+mn-ea"/>
                <a:cs typeface="+mn-cs"/>
              </a:defRPr>
            </a:pPr>
            <a:endParaRPr lang="en-US"/>
          </a:p>
        </c:txPr>
        <c:crossAx val="176942608"/>
        <c:crosses val="autoZero"/>
        <c:crossBetween val="between"/>
      </c:valAx>
      <c:spPr>
        <a:noFill/>
        <a:ln>
          <a:noFill/>
        </a:ln>
        <a:effectLst/>
      </c:spPr>
    </c:plotArea>
    <c:legend>
      <c:legendPos val="t"/>
      <c:layout>
        <c:manualLayout>
          <c:xMode val="edge"/>
          <c:yMode val="edge"/>
          <c:x val="0.19742966728315078"/>
          <c:y val="0.10414911912328857"/>
          <c:w val="0.61753736665269787"/>
          <c:h val="9.1354710418601354E-2"/>
        </c:manualLayout>
      </c:layout>
      <c:overlay val="0"/>
      <c:spPr>
        <a:noFill/>
        <a:ln>
          <a:noFill/>
        </a:ln>
        <a:effectLst/>
      </c:spPr>
      <c:txPr>
        <a:bodyPr rot="0" spcFirstLastPara="1" vertOverflow="ellipsis" vert="horz" wrap="square" anchor="ctr" anchorCtr="1"/>
        <a:lstStyle/>
        <a:p>
          <a:pPr>
            <a:defRPr sz="1200" b="1"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sz="1200" b="1"/>
      </a:pPr>
      <a:endParaRPr lang="en-US"/>
    </a:p>
  </c:txPr>
  <c:printSettings>
    <c:headerFooter/>
    <c:pageMargins b="0.75" l="0.7" r="0.7" t="0.75" header="0.3" footer="0.3"/>
    <c:pageSetup/>
  </c:printSettings>
</c:chartSpace>
</file>

<file path=xl/charts/chartEx1.xml><?xml version="1.0" encoding="utf-8"?>
<cx:chartSpace xmlns:a="http://schemas.openxmlformats.org/drawingml/2006/main" xmlns:r="http://schemas.openxmlformats.org/officeDocument/2006/relationships" xmlns:cx="http://schemas.microsoft.com/office/drawing/2014/chartex">
  <cx:chartData>
    <cx:data id="0">
      <cx:strDim type="cat">
        <cx:f>_xlchart.v5.1</cx:f>
        <cx:nf>_xlchart.v5.0</cx:nf>
      </cx:strDim>
      <cx:numDim type="colorVal">
        <cx:f>_xlchart.v5.3</cx:f>
        <cx:nf>_xlchart.v5.2</cx:nf>
      </cx:numDim>
    </cx:data>
  </cx:chartData>
  <cx:chart>
    <cx:plotArea>
      <cx:plotAreaRegion>
        <cx:plotSurface>
          <cx:spPr>
            <a:noFill/>
            <a:ln>
              <a:noFill/>
            </a:ln>
          </cx:spPr>
        </cx:plotSurface>
        <cx:series layoutId="regionMap" uniqueId="{B1E5FD33-C693-47F4-8959-01C538B29C58}">
          <cx:tx>
            <cx:txData>
              <cx:f>_xlchart.v5.2</cx:f>
              <cx:v>Sum of Sales</cx:v>
            </cx:txData>
          </cx:tx>
          <cx:spPr>
            <a:ln>
              <a:solidFill>
                <a:srgbClr val="00B050"/>
              </a:solidFill>
            </a:ln>
          </cx:spPr>
          <cx:dataId val="0"/>
          <cx:layoutPr>
            <cx:geography viewedRegionType="dataOnly" cultureLanguage="en-US" cultureRegion="US" attribution="Powered by Bing">
              <cx:geoCache provider="{E9337A44-BEBE-4D9F-B70C-5C5E7DAFC167}">
                <cx:binary>7FvZctw4sv0Vh58v1cRKYGJ6IgZkLdply7LbfmHIsgxuAAkSXL/+ZlmyRyqrrZ4Y3/A83Hpwt8BC
ATgAMvOcTP79ZvrbTXV73b6YTGW7v91Mv7/MvG/+9ttv3U12a667A5PftHVXf/YHN7X5rf78Ob+5
/e1Tez3mVv+GQ0R/u8muW387vfzH3+HX9G19Ut9c+7y2r/rbdn592/WV737w7MlHL27q3vpddw2/
9PvLf1b6ts2vX764tT7385u5uf395aPvvHzx2/4vfTfqiwom5vtP0BeLgxA+mHN5/3n5oqqt/vr4
YNcqMN99afdBX4c+uzbQ/S/M58tsrj99am+77sX9fx90fDT5B+15V8d3a4/r3USTD19W9ttjbP/x
970GWOteywP494F57tE++ie3H69tbb9C8J+jT8iBxBijkMtHsBN2ICQjjGH0bVfudvwO9r8wkadh
/9ZxD/Zv7fuwn6hfD7u6ztrr/CfCjvkBYgxhytkdvOIR+iw8YIRSjqS4O/Tk647fof8X5vM0+t86
7qH/rX0ffbX99eiv9Nz4rwD850cesGchxlRE9zYFLMpDgyMPREQREvfQh/jr0HfYPzubp5G/77aH
+33rPuqrza9H/bgfr/OfCbs8wBEhkjHyzaI8gJ1GB1RGkkZc3D2OHsP+/HSexv1rvz3gvzbvI3/8
7tcjf1S3n65/orEh6ABxHoUUPbYyhB9IijiO2J2RCfeszPPzeBryr/32IP/avA/50fmvh/ywvXZf
z9t/bmHAqYZwzgUK2SPTQukBiuCUc3KP+F4s89wsnob7rtce2HeN+1Afvvr1UJ/kH+frn4c1WHOB
d74SR3enGMz1A7OCxAHChEeYyrvHe5A/O5unMb/vtgf6fes+6ifvfz3q5+ZnWhSM7mJ2wdE3VB+A
ziJ4TLgQYg/t52bxNNh3vfawvmvch/r89NdDfXFd3XY+t7fPHfL/O5rw6tpft88N/5jH/JCisQNC
CN+xsKdcN0MHGANZCAm5Ow17fuTZ2Ty97ffd9vb9vnV/41/989dv/OV1/yl/8c/2+uNP5cfgNDDH
AjzHI8sGzoRRgSQK7w3f3l37q7N5GvzHvff24PHD/a24/G/Yirr32YvL/qfGUdGBgPNPCaJ3x3zH
DB5YPSwPOIRZ4Gf2d+KvTeZPNuJh5/19ePjsu224/C+4ET93AxAceUHhsxdXAfJUoojL6J47gJbx
UKx49hz8CfR3s98H/a71O7iTXw/3lc397acvFujFyuTttb/tviLxn0e1mO6cPqaRvNcsHitGDJQk
uB0CfRWMgGw83IR/d3JP78nTv7K3RU9/aX/H/rn69Tv2DiKF29a+uLwG6fb6K2B/tlf/dwHD5fxT
NV1CDzgNkeAk/EbmH1hKIg9CCtRzd2XvPl9XfiexPDubp8/Gfbe9w3Dfur/7l/8FQfmb3ubdz4wV
gHgKSiQNIwjBHgAO9hG8Etn5prvPnrjyFybyNOTfOu6B/q19H/Y3Z7/+0l3tbv5PS1/8v1X8Lsn0
5aw8nX968tF+luP9rbn9ifoX4geERiC23xsj+VgGA+VRSMQwe6AgPHRcz87m6atx323vYty37l+L
9z/FF/25f/jG7hJghqsvmbsHqacfP/26ZXtdf3SD7uA7/ATZPQKs5Vs+cPcTj4KCb3Zir8ftded/
f4nQwS7UIJJQThDsIZitETzm7y+jg11iKoL0CMj0EdmZO1u3Pvv9JYFHFEFCC/gS4yGj0Kfbxcnw
KNzx1JBJ6Ep4SBj+lim9qKtZ1/YbEPd/v7C9uahz67vfX0K009x9a7euCCNCRLQjvBEkEyIpQ3h+
c/0akrHwZfQ/xUSXKZyNVQyF5kNVjNnRQnOZZGk/XI5BVSVzu0wXkQ3HYxS03eYBTk8Mz74bnoew
lkhgxBkLGZzph8P3vJkty2ijaJ2FF7Vd+o95l06XsiXNXah6x///ylCUMgnMhoWUS+D4QG8eDmWC
lE7dGFlFbFG9mXzB47rq08ShSj6zqu9ApSD/h4xA+iUkImS7VT8AlbR2attJVipkXa48CvJAlXIw
TGULq9cLDPmGD8Kg9awzeduN3UwOfwws+g5ZWGUIZw7RSMDBY3vL7fJej2FbGrWkQ1FvRzlmXcxs
1bNELDmVivRBeNlFc/WeaYpDNZCyeSv73iXDaOdCaWL7t4wyHSg+ug6v7Ng2Rv14mnCNHh8/Gu1O
MgE9mUUg7u+QfIBUPosKLbwplY2W7rQJiuEoMM4c/XgU/D0YEYOBUEghQ7/TtB8P4/qikQ5lpSoD
m6eKi2lmigxLDZC0OHwfTTo/N33QlTG1Zlw2fkjZbTt4/nk0aZu9cjjMLvKo7/LYuaEOVnO69FUS
LUhe6jKqxlinItDx0PhsU8rKnhkZeaJaTaJh4+XA5vWckaFQrmjozY+Xx/dAxCEXkOPmYP3BxlAM
ZuQhiAJTM8NFNwr3ZbnmZSjWDu6cGmczrjqfjRc/Hg89MSAIZRGTIQxI8C7j8nBALYt+FPViFMrC
DWVVqUC8Toa0T3BafhBpe1kLtilcp2RN348hPwpFmljhN5bbUz2UseuC4ZkTDxbx0VECFCRgwClG
YDZFtLfHEQtCFgyzUVnL8ssGzNnKpPPt0pXieKIDjivXVfGPkdg/vphHnGEYcnfN4crvXbJlyOyk
qSyULEV9mOGwXNuqG+7k3T+1XE+NEoUCBgJmikG5eQx3nzPRFTiFs1M1NiajJ3HKO/4Mfk+NAq6A
wsYSAQnOPU8wT5Sng92NMlT6EDHPk1pG1V0k/O+sBRydAOcmJIQyO5f38Og4aU0wtTXcxNxdG0rG
D8i19NMz2/LdhYcgiMMwCJT9XV4Q7Rb7wK5MiHc1GthNK3uw+GE2snLL80U2txxVDK5pqN91eqrC
raY0wElVLhFbaTToIHFjU41nvSc1PmN5TgvVh2VUnxHDfLfteDHreFp87Q499VrExdT6PMZTlwuV
d1HFXplhctUx5pUgJxpr6Et7NzdHWcoa8D9ziJZ46NKi33aksGVi28w3KsosPV+cHrRaqiY0Sdpn
xVaXrZQbZ/O+VgNsiFOzYUOZtLqYPnqGyiJp/WitWkxbaLhYzajPm0GT7TS3U/UuYGSOYl9HQXdS
ZaZfXvfELeFVWmcab4a+9ctqlKi9kVMQ6HXbmkXEoeeF2UZ5RcqkzNtsSOwcjlS5CBuX+Bo3QdIO
3WzWrmFCb2a6tO/CJhhM0oep9muTNuzcurYMV3MrRH+ULs2wJKVlNUp81aXzKW06lyUjnuo5YTmN
uoSmKHsj+NKHyrNMonUwSy4UonM6xq7Awm2w722UpHVLexUSF4APRx1DqxFVvY67AZFtiLqwXeul
qsmhQBTwKTu2HIoyCqBPp8MP9WzqctXktE9VU7LArdHkM5PoZocgq0zlVzNn+pWfJvB4OTjusxnn
7aQ0QKpV0XjRwWbMQamWYhneT3NT3rYjGbpVpItSrmqY/VU7tHAIKkpfIz+j4Bx+rM3iMkXcrNpy
MNMGN1Mzr/IyXd6VOJ/D06kuMr9Ckw3lWs6TXc/U2PQQd2CEj7CY/ahES8rqIhg6165Rics8YUVW
Oogy+uAP1Mp6XgWNM041VWveCzKYj2meDZWCwDTPT2c36VoVyDMWg+XGkxqidu4VRIH2NmhQ4VZ+
yqvjXLf1ELe5KHDShcZ9GojrSyVxPmxzVFZzoh1f6njsqu6wXjJbwE4wO8VwuGa0SmmAsngQkYni
wVWVg/DCtB6CSUZIbPOJfGR1LYIVVA/KUE0myPp1Fk2oOm5QOYwqKsbiaAz68qObwY3F9aKRVw2n
nVVT5HwZ6zqowRDaDpx2Xkf6eo6cpFvuKtquzBzgj2Iqpy7uwrqeVGumgCY6NP7MuMlGhw3Rtj0q
UjcPF6ySDK5OOFoc4xKnONauFVMcFhUiSTTIKF0Pc8bzlbYNHmPGSmwVXprAnzEi6LSxc79EF/3Q
4fc8cE1zkXazTq+Q71h+5Po6P1pCNzDVN0PuYtMNNou7csI8zseMN0p3wfS+GLugi8thGuoknSI0
rDvZ2Q+zzMdXJKsyrBVOI+FXYnTMq65MWbGmned81QwN4rGr53LZZGVD2zgvF19tcFayOsk16pxq
wyEiW2H7xSsITrPLwM1pE0eRpWO8sGiCwAhMqYyFyDqq6l4TrqZFRv2K2FYcu6YbsMKVkTZe+sGe
VV2V1UkLoXulptHQ5QKLXpRKYEc/hQVJ0YZOc56twwXrd5NwA4ohsnSfcuKjU1yTvF6RJgT33E+y
WCEruyC2hWiOOXL8DUwpPU2LTtQKiglxqtqy6kgyVc5t86od4DYXra3UwCy/zElLDwPRyjHhYUVP
yyayo3JpZEbFbVPqJK+KYYnDvJFHOKvq9hRKOSFIKjLSkkMcNukljRZY8WCI/iR1j84CukTu0Ih6
HmMqqi5MID/fL5uykkuTENaM7mJI/cIPGW+oji0bJY85n6tUGd6565aJ+Tg0yOQxrcsIxcOQVW/R
ZGS9asCIbZbcIqoqmxG3zqXo+pgVxsSapFx5CC7PlynP9aoJWDfG2QLuTmnMTJL1FB2JvDPkhMsg
OLZuxAsAIZtXlXG4XDe25U5pM45VvES4GhUukM6TQhSeq3bCwWe4Ed0fM1TWXNdNHbRqXBxhKjIZ
h4s7eR9CdNfUWkUidYMaJz2XcVYGQBUbrmUYh9L0nZqaiH2QtEQ4zrJBdOs6GnyhWJd5GwfaBBfz
ENRlHI5BEMYLjHlD7dila0frHKlgyUQfd7lpw9VYNCNeeUL0HwX4LHtENc5QzILaMdXWPDjXqZEy
Mf1cX6Y8xxnYsTyDg1P1+ZvST+JKTk362fSy6OLAQcx+AkxrEoqUc243S9boz50YMnrISmLezhDY
SYV1x/okm3aUh+cpiZQLtBAqTdv2tO/T7iSAq+1UXkbNBW/4CIFkOuCrKs28iMGgiPeLd80rFlT2
qi47iuISZ5jFOMSNi1ltwyFhKZ/nFQ0pEa+ipqimLeonWm7mcW6DzQ6QM2KjejzKOieHJBNtX4KV
ceONGaiFneChK8GpBo2BPXC9VE3BFqKMHVTKPbfKDGYQMKYEY4JRHwZbAmQAvFcPx5eoNIjKPvZ4
d61kvtvVwTpzRhdk84TLcrJY9XlLJ1W1c4DWUxNG+oJoaqfLANGiamPEIx8d1dDW52pGehaqsNEM
twxXXM9VMkVTLw5dVzNQDWpMUrC1c0c+9xlFJpmcFtasujLn3CRf4r17Ieie29+pGjd1AyK/zu5L
wL/9+Y/Tr3XlX+qW/9W+KyL/11/nza299O3trT+9bva/uRvv21dhuPvxd3LPoz++U57+RFu6q1X/
k4d/TXgCOvMg9P1OeHpYibLTc758/U51YlAASjhoOnCDJWhFAvjQneoEgtFXmQnKjojgWEqQgUAE
goD5m8wEciMHqQQIMxwuDtoJ+XdkJr5jXw90JiCLUHixY0hCRhCOkz1JJPdRXphCsAQFgmglOSPl
OtB5SBI5zehiyJfAHw6DGNxpYCdpVdlPolczRAk2CRrQg1QwkeZzE6RjqcKgSc8KXA+pcqaP4N+s
awvleyS9sk3KbkTnx1kRDaF+kkpRNsesNBAnESTZZWCH4W04u4zFeVMXs4pabGlCZTP24ARd+Mr7
IPvDLgvrlchEWaguFCEES4tuZhCrGlxuEWpZdVwsdYbV1LXTe2Mgjk7w1BIKck/kZpU716I1YwGv
Vt6jul/jumBHLBNFujGOURyPfbMsRy1pwYLSuUPlSjaLoWphVV6u4brk5I2sy+F48mUWKapJAf8/
FSKKcz3LWXntGFLgO5btYmpwJzSdXXAU1SmG4H3MyOWAYJHxLjZIFYraZ8QVBMfn8dYCBQ7lTlQL
oRocstePuVaVoirsC06TMZWN3Q59wJxKR2PGLU8r/qqoapmkLDCJx1l0FnbALmJegR1QaIzEFn7Y
PqNQ7AkUBIifkDuSGSFQqED5eTwlVDXaZKMU4CtKcoYCPiW1G8W2yCZ/hF0q1g9u3b39eaiiPjEe
UPOIwqAYeC3ZaRMP6OaYhkOFFwfjTd2y7n2bv09F7RPj6+4G4aJ9RmDc07NgfXCJQHAAbRHuNkgw
j8frGxA1MGSxk0rD0spAj0e0Hos4zdPqmaXtmPLDi/tlKDAjmEKuE8DcEx+6WnZAsolIgrkQKxtM
9U0+Ngv994RAUBxCKDal8C8GvVKGO4QfIJiPvi4WnUeJDrBY6Wxx60wv0TOj4C9a2IPlUMiPgNoM
ajyFWi9Yz95yynGiY76MNPZp2g1yxScWTAnSI5mPBuJzd9XjKmTvKyAwwcZGOP+sbYGbVVq4WqSx
BXVp5yUpcHDQFcppOp/GKkMg8440fV9QnUM0j2vwqKrgDUStMzZjqoox1HYLwXhwKwvuzKnUJBi2
/bTwd3QM/LxafA8HqAQj2WplKcOdsm1nULx41pN4FONi3meIugBCQbkA9xblpMHcYcvaYk0CUl2O
JAAb4Ye2tElR4UZu8q5L6SsbuCGLzQjvEkDAYDJikoUNuj3maU/GFGKsPqiw6gYwwCxODYtQHYcm
Y/NRmQYTi3XJo2obWDbrtUWmrmNk+WDO0GIsEHreFxZCja6M0uO+ngycRGOA++sQ+WI9RHlTWcWH
cU5PzBACj2JuWKqzdAwbfsVNOgyxsL5gH9uys9XK4a5xm0x0nT0Oa5v+YXAbdIlc6rz/Y5JY3CxF
WL1iZZlPi+ocyv3FYsugeGtkVrSvyOz64U0oIdTairys89OltM2gusqaqo/TZuS5SwqGCQL+lM79
1oM84U6WcirKtzqfafHaYYjqdEzaLD9behvg46WY+vkjq4ByJtILJ8+Hnqdz4oxoszWMCESlnJpc
JKCvs49zWVWnY6DnUWVDwwbVBkXXfEp1VRaDKkA56rcMFA6iFo46zpQwbRBcBX0lo6sSblwd53kv
qnUNuhVd0ZYYf9VlfU0vhwVl09uqyLVddVpM02Y0FZAbJIJ5OK/cYkG0H1JXpX9Q4Hz8CLJMrVc8
0Mh+gL3IdLXN/BghnbiIDfga6z4K/KYBauJutKiiEQRt3Y1lbAWwz3jUZAhUSnKEd3SYXXrLg0CJ
YARiVeZ0sMcVSYVTsu27eQtSi6yOWumiTZeNhG8aWtteNVNfZeAEukZsuqEXIPMEAYlWHuZdxK0F
FWHt2qXH20aW9fsZw5lMlr4cteq9tFMSjrWvVNXpNAXVpGdwxUZ46SaOxjb1R8LTQa+qhi0SQu0g
B+KXivlKzKk+CS2txGoiLF9UBUuVK5BwEFdspO3hUkQNTbJ26mQSpBbIcx8gnCUGk6ncADMIcpXL
Zp6UzbJ5VrwhoT4hFKSUdSjQMG8z3LDjwufYbmzp5IedHtGss7aNdBJgXDRr5/KIH3LjMq+ipecg
5yAGbNNHQTAoULPtKS4Hqc8H37fsTZYBRdvWpA+HGJWhPesGFjVgj5oapD+T6jd0gPWCThGAcxHg
Z0wZo74gZjmdadtUQdItkhiY8sJhc2HmVQTj9CAMZblZ7NkUFGZRZmpzLLcT+A2wQHTRLd3ofuBY
uyNHsMOmT3pbVXpdidx1SRAtjaGbfLQp0s+I6V9E2Ye2eZeriiCRAdVxEE6QXYL7oQ8AE+LtUKYj
sLGihwhQ8DKlZ21LXLnqm0g2b0EnGpdDDIQ+34SBxh88XBN5Yms3+BNXshCBUjqFIkaez/IsK4BN
Xf3Y1e+5XgqkEIJY8MCQiachifZkcmtTneVtkSXZCHKtnECn5X06KrKg4BnXi3bO6CEgu7FIBA5x
5+ghCN9zVhBNNmAYoiwJ28GuSQUZl1yMY0Jxzd7OTOavG9Kk0Ib1GaSfwlU9yTRuy6x5JjewF9/s
Fo0gPwwkQnAgBGRv0dKFHUg2QBUxnSO+BVejP1Kwh5PK0zCSJ6JNKX/mOOwFHpDmgDAAQU4YQjku
vksyFSlIIwGlY4LcOCfegnWtJtBtf7yd348CQSLhBCr+Ikihyb1IaphInjUDmpN6HOhKN7rYDDJc
nok7nhgFC8iwA7fYxaRkL7pxNcQ9lcnnxGY+fNV2FB+OQRfd/HgtexkwSjD8OFA1JHbvZMJ4j+8P
6fAIeYeqSHpXRSsmHY1ZU6G1rCV4CKGnJAtofrdN/8+9X8ILxQ/w/457Pyrv+1Iksvv+Hfmm+ABS
2kCJdmlneANzx4nuyDe8kQyvD+IwgtPA4Y0eBBnvf9V8QMUAZC6hJxRn811S62vNB/we1BlCsA/b
SnYFDP8OGYfwfHesH1gWDCaWwxQ4wpDEheFgFg9Nbdezdip8gOOcBEbHCykX5bM0JLe2msdBWWJw
ETd5h801MrYLY9oV/ZoIXdTriiHdKNZ4iA9SXtYgsHlhppWpp97HpQmtiWsNEzgeyyDEcZQ14gbE
eJuup7Ycl0b1vRfBkeyD3BdxxoacHZIwTa+gbLeUyTS04Vgpv4imbVXOsygDNTrkk4G4yyGXr2bk
nb3hxmLBVdOKTJo18tJbe4ZMRPvLPPITJO4gYzL5FQaFvIqU9rU2nyENMQ4klk6WK9cTP21NBXn9
11PqILYwRcZI4toWT0ZJX07sM0EQ2ekYMk9TedrLqQ0vRIDSj8Wu4MApNkPx0KT6yRb+ratMbw+5
nRzezCDg5goVKRD7Sg6tcHHQiyUVygCV+qD1NL+pCt6dux44e5+iGK6v3kYWZTddwN/WKTnzelCD
ntgJrvxmDkNVTOS2z6EeoRqjPIZYGahC70AgdyhUs5cmFkV9GgDluFpAEVFOdO3JTv5ZsRrKH4wM
TmBa79KSAqZ54067kh4NhT7W3l9P49ncQHxvs+PS8KR0UR9D4n4+zJsiUy3NotfcsxOpbQxvepzQ
Xcjg6Taqy7XrOIkXKCCZF3faAML4NDC1Oxrb7nyZMzok8xxWKhqzVyPwqbWuloKo2vdH09SdLSlm
6y6iVqWs71eQNCj/WGg9nfGM0bN+QCehh4AADkYaQbBVsktIeGYK9fotzzKybbOgfGXwQNQwQ4pC
y3Srx7bdmGnWqwne74rBl1/5oG3ioYgKZXCWboYG0nfOp0dVUbTQscOn5VRxuQURODyJtL0Ee57g
1rxtSq8TKR1oUm3P8pj3U+NisTTZ1dDi+ojzVio0O5Epp7PjUN7ySOjEgus2iuZLFZdjezIGLgZG
G5MwwKsxParFfKYtL9iqJoS+qbUMQOkPId+boBEKRSQcBOAEzTZn7escEqwqilK7HtrpLI9KriA1
VClQn84GEjYx7H2SFTKu26zeMj6/Hly9jZrcJ+Pi7YZLeoWqcW104JVJzXjRtqJRtUE0RqD4qzxn
tYJccQvaeDPMoKrN/WkF0QA0zkdZ1S/HqeVk3fXwT9RFLFU15xd9kBbBYegQ6NepVXKGrHQMctNH
ZH2Crcs/tlNJmxho2aeo6csm9nS57jpGTvzYTAmRETnKZZkfR5BCOeX5GCpaTtsmJa5SsnddLMoF
Z/GcQpHY0ozturN9BokEclowCOB5EaSnXU9ljM3MEliVvMC5psNKFojXQO+m6xJVn0aC7LrxBp1R
gSu7pXUwn9SQNdsUlZ3yeM6gt7NNlIxjGKwgW6HxUaSx15uFZ3kcGMrUaP1hgf24sj1Geo1JAfmo
0brNbAYGl832PVgCSH8BBZQzGRQu9dCfjKQozLlxwWcU9Odd1nzmKcddTPKAk4u59m+6aRAJxPxv
IMnQQBy/KMiLXoWurmIBtvYkZOkRhOZ/QFakCj4a4iD3AZnxFopOChSOEAGGBrIEqSU3nfS1gkym
gAi/lafwRtZZXoMpLHNZAfevgwvKs6M2b85y29FjsOeQlKzoeTUU8CUBOXI27yrXBk9VEMJuaiD3
cUPQZ1uAjgc1DaUig4N0t0k/t1n0oZLBigxyUJLsqs3CRqznKX2XDvMpMJfgcPJmucIWg1ySSndY
DOSsBuoDyaSaQgK3a0x5XaeBPdd21AliJoeUIkgltrgAheRsLnWLVV0KDzoCZCaCHsHJ6msR+7IV
qskZZEUlK1TD2qQpoUqxWE47OpAV3Cd4xKfwHQL2FVPZZcErBGrpMdDhCkwN0MqmqC8jn0JJXAh/
dCDQsDKWAZAekQHt7cINoQ07A13AHzap7xLOMzFuGwcmg4/B54m5GGwOS5YOHIauOxPnc3SZkuw9
S8c/IlZHJ7N8663b1sKtp8E1oEJ0J0uaxnOxHPaS93+YIg1VJPtD255ApcIkodKjcuelm8Gbjp2L
IdWoltq91W3oj3U6Ab+BoHkFrPN4gixy3Oc3YOl6yGVqdgr6CH1NJqo/keG2aqoVgVuNVQB58osc
jAPoEq8kFBIwNG18Wp5EEVDdsHHn+UI7VRkefmCdez3/L3tnsiQpkmXtd+k9LYAqqrBlMDM3n6cY
fIN4ZKTrDCgzPP1/zKOqOzP7ryqpfUlKbNI9wia4eu8537mWNeBFyBNL37sxmW9EqEuo3Kd+r++9
H27DdhpOwebqgrXeHmgk2x9wTe/hB54XGd26MTpv2j6a+CoM1sNqFdzYcyTGYiUN+oC2lOFyG6jp
RmzRVDRR8LptyR3rgnsPGKOAO3/lYvE7iu8irnjNmiJO5D14HHvoM32TBh9d9Di1OFQGe0Bz8HXO
9gCam+5yUmdQ0U2Wc2WO1CmrysWb3zrUybZ7icmPdNE5fMC81z+nrs3F2t6jNziE61KE/W2tSAEa
Ku8a8aIoTr40Qikacw3AbxiiIpDqxMa7Pnh2Qf/VT1cq1qcJR3U21KXYf09ZUGAELxgPymn1B1C1
J9dMd2xH8XnbwRBOqCic4WxnvODpHUycW9yyD+gnC+vQ8vTpye8+X6YFxwCKsbpALN1RqPk8xOtp
jPyR8d9sn9ynijxI11bGp4WDZIgpGf3F9yS4cYRCEfJhhJZgKvc5u3XTpSp+NZaXzEWlzaqY/uzD
GHUqVoAXJN4vcV7bDmLMzqq+JhAGhyoN/E1muzWvxTLPOLSz9nHH1iEqKUSM+CBj9B9rdt9BHh2M
O03swQ9SJ7gdIpNLHd827ZTkfsFsiumye9SZQS+CHjktlqRfCgbJs7xotqewdlc7OSYbII+ZHKUd
yqjD1WK332BFz+dlsqbk9XrECHS/rNBSmI/qER92h2NY7MPj7oP4KqFLc26DRJ3Ehr40nQ4AWIfb
Vo+495vx27BRcqW7lquccQiHEIpU/xgv6sn191wCl51d5DFG7fdxOlxH/Xwdj1VP0q2MeQsJ1TiO
Etmap4Q4qBIkm09M4BMwfO6yQntXtvSDb+Yhy9Yr8F9hvtCshCXyLNCJFFuSTKe52VQht+jgTH/d
QxHPl267SUP57IkNywTnHe6/K2uP7ajJWNClq/CnSEzzDY6xPC/LgKub1kLlPUPbo8OVFmks32XM
rjjXX1sh0R4u5LneZCVVdiQezi0frgD+vMR45KZXfR6w8Ai26gtVU5lto8z3+I6OIF4vVzyxZTeR
g2p4gbO4dIEqlna7iVQIgFbgjclNq68kDzROjMJ16UmpdjvsYqxqNMebSopswcWq1pNlYSltCPYE
Ld7iGiDm7tAF4Tei0GuuUVlv3bOj7Z1eIZkGnLyC4/p6+Vust1/C1TwrHbxlibkFYfAUROHHGMyv
S+Z13qMlyLN6LkZvKAyxLLjfl+a524AZWH1wq78NbXQOiDtzFeGsD0UervFzRIdXcE8laX8MFrcX
VNIcsth1aBmuAPYWDev3bFq+pz2/FVNYsb0huVqzQxCLY6O617WtgfYlp6kV7ADNymEYacARjiF5
XXiyAwYJ6ipJkw1/16PmwkIM5lAViTT2Kla04hJMSjBJwBod20onEnyQe5onuzhgKABuDHWXZtnb
OKv+WsarP9V9VHbo6CGLVHZT1TSC2SL2UdTnrCHf03q9NrhWxlUAgJVokQDpNiqumO2zg27Ts4BW
H7jOw4ZdT8mEcUrL73vKtjxptuHUdOE75JhyjVXeyq1MUR11PcNXZKUcPuRIzy1vy8Bn73wIXrKa
vwg7H1kb5ZDXAVey9UdirusgznIK5A08goTwkd0zPa+lywA2kv1aA/sSe5KcoSHra7aiu6ZJd8pI
jCpE0ClDoTYx/NrkW7iER8ivVRy7A186fpbtcuB8e1JcXUUDvYNwfFP3mB7QqaDKVGAQ3qwBFYWT
fQl1FQMu5BePIbE38IbPcr9vQwCX9BuA8YqMH2DJqmlvHtU2wxCe8rbt0fyNF2ghp8196CagFmNb
JuiM6wVdlQgf95idkmQ+UZxuRqR5YMYydPqttf1twIIvw3jPQU/4RN4OAsOKeF/QT5brlh0EY7cG
UKUely8twLpCWpweuwnMS7elOB9Iv0fFIO70IAVMveCDkbWK094Vc78f6kFsQKTWxJYWejTQ/c3b
34zI6HRT8wRtXmhaTDh1P2yYhkiqv/LJcBRCuqIXn/a2/s1KFdgcHsS6P8k2s2vRNF1Gj5zUmHp2
t4W/c0DHv0XLKJ56kKl44ZFi77Lr3VsWDo4WxI7uo68blHWvNY4XR7LtmW6WkzwU2+ZvYcHqKzKC
6CjhgzSmgHUAKDwOAw3zwJnofsYMF+RbAgOk0Iz0bYEuq3+HV6bR5cnUkoLXgiI+AbsuyFs7b5dR
SwhQJ7GTbzZtHYYS2odnkmwzK8JpAiSV2diseaoHMEfOT6M4cDLxKmzr9cBZHzaFSZA7qcAX3TG2
tl/JvpHbKZbhG/GZMMXkQsz88HQjoG3BtvUVoMFK9miSSyLpqPD0k5blarJgmUHOwu7rXF/DIIU4
fd3gzUV3NcchfFOSsFcx7BylO5kEkOIZRMNEIrSAS7L136ibWFe4HkRRGZNpYAczK3Gzp8s6lrXX
6g5PbHkRwdTdLHFATK79zp8d57ho1NyYF7125gW+Q/K6Z/XyESTR0pV72GcWw11jVAEzGRycHS6T
xYK8D+I+NtFwW6hFAxe3FMryTkW9l95zLwsxJxD+OQoGL+iMcRODcs+eapgrLymIV1SWbdY2j7pk
CW70kDlbjCsYkMPAEBPBTbc7U5G9WdMyYSoBz8kIuae0sxeseeL3qbcrZKauna7RWaZxsUd8aguz
4rAEbLfZSx1fQDkKFeln4KoZRUuQJTs6/naH6ZfO4l0ZF3yJeoSijpYbFT4vSwJcztU0/L6se5QU
A7z3rVyC/bdWIadQzMapJIfY3QQF4Kuo/48aivWYn2hRDPfhH0fg/rj06X9+/W9iaPrfLCYJtgBm
nCLuRf5XDE3/myPDBkPlooSmHILnH7TQNGQs/fsPIVD+TQvFmoQQJyYGnAQKK4dj9O9ooWCZ/o8U
euFXPh2ADJr5Xx0APk6wdGd0AV4Gai/6fmAnAU4dehbGfVkre6rbGtag4P4yFKz9Ik84nrV85dky
r+gkZCIfeeSdecGNlo4lkKW+O2JnGQFJPLRdAu58GLs7N4aZPvAG9esYLgPsw8wryc6ySRw/s30g
OK7NAMPrbfKObk9123VgQgMNOxVBgYB+QXkdBps3qcB8PqKNT9Ely+h7uLraFK2Zwv0w9gG6yZot
tr6dxESXqs/ixZeityvJu8lCSJzMoB/SfsBY1ivfQG4abWBhgPTT9iodfimv131nOTDPFr+z2VFU
GViBD80Y8RW07ak9zuE2Mgqs1UBKTCZOzaMfu5W+xjWdXLV5P45oQFrVBmEJxGRZzomo5Za7jnFa
aKALSFdM2wx4aOKCH7Nti14UsUGN+ezTcDJmugv2pvFVPRm0eWTdJJQPJbf7wW6vFkgFgFaoBe9p
t873kdYzbBZgP1Drxp4sRcqD9ietl+DaDlQjrrF3DPgCmZMEVFIYK8g+LYILKUPzXiA7FMnD4FmC
Nq5TuuvyaG8pmkNJd+hCeKGvFFTpnsdIY9zOFkPXldHGjFUH8UR8WMen+GUE1jwcIIt3abFNtl4r
nzpQpPWMYB6IeN4Awayz+RbOOjWHZKT9lq8C7HcuxMWkNZnDQ9NGEFnZoQ99sYqh01fJ2IjXXqzB
XnSQdV0lSIxy2NVg7YsgGOonycdwKjxP2VylmU1/1gZeREV01+hyaMkob/wWN09Sj1AmuSf172u6
bV/cVvcjJPFg3E86yzZfgBAGuElN0A4VTSCa4qfpdxFe4FLbh+5YNynrz1nAV35kAilBCDNzxvJt
Xo0+NCbFAzjSLwfFVrmXDWJ20VW6Bj4sSd3tazlFu8Ul5uesPyyNTZ+2hfFbsnadL7MWil5BRIcJ
fNp0O2GUGQZ0k07ae/Q9miHa6P33qXfpVEbN1sZ5Qk3vcp04Px5XPqZ7IagIp3xY6pjfblg/DKOv
Rh911bm5Q5fLE10QiBIfqZq0KKH+rDiK96H+ysYNWGEK5BBKejINBbI7UVDYeVzuIBhniI5E1sgc
s2R9SyORJo+qr42EOjCih+9SvYH9AfQKSjfeNIhA4NHvWSQmif53XXjezq263O5seA4D22uIwj2m
RAtbpTvM8bhvhSaoHreQAYbLoFUrUzqw4B6tUktfM83joSKI20GWAGzRA8Ah6Ib6IUhNOS3b+luN
2KIA2ZAsQ+5XOj4gRjT+MJHLfnbU860Iw3m59bgUQE0uhqm8AyPS5sm8x1+NZjXaRxNvyCrwbvsO
aIZj6gsUw0Utof7aUCKqsLCaIxSD1gO1MOmGITdQPKZCd2SKrhq8sq5gvYYWkDjp1cEGS0gPGjlI
8CK0c1mOQX6/UxO6xUJNUJkhVhkMiiQTa1MmsQxEvlHWu5NrxYpkAtzc36j1oyt8NCESp+rZalg6
AgJi2w0Ob7zIAJzMsTF3liL7VFgS9/VBBcodhGTxD5+4docmQck33mZoGVNwJ9cb9AjwOI0fnmgN
MgMQzWQwFmkkhkqC0QX9KXxyZGHrNHqyMSZXZdPxaQiHGUopUUt/1KsZ8VJjXtu8pdF+mmrNsxz2
h5+LDElwIO3IjsrSUld/S2LR1uiDhoFALSYIzVDSDmg9R4prjsBAu4rTnRRe7XMVa3nf4KRSsctZ
VEuVw71+7TZFrrjtEC6O9R1RfL7BxyWqDVazScRyL7kuheksIkHCPK2MXlvt/YNJmydLB3W/OY5w
ZnAN7+C5HnERgAm5HjeEWBa/I9IW0IKl8wPZkqoJ/ZmZBITaIhBRK1D/2xN4MqjWMBvLpfP+sU7a
MxryK/B7qswGp0ROhi844wyeQP3Em1S/mm350olVVSGeBAsRi+qn6acIoey4+AsS1VcILfF8gE60
iJrdo1lGrDb5sezLCx8R++rnDZ9IHXenme24ZSNzu3tdH8wQHNWuf7TMvA7cTfDcxjN4Mvo74KbD
hmJyO3J4jysZxr2cMLB9A7K3Ykiet2KcB3HFFvni8S9EiNcgibellxFMh8TmW4PrHUPm5E+yJ3dm
iaO8J6xwIb3GsYcq18bl7ER8H29zeiDKMQC3ELArOieirOM1fcwaFp/23QDTj2RQrEn4zvluig0u
GiDj1h8E0lf10p7HGUkQMqucDtu9Ve7RjuYGAdcxyJc+MT+BCd0ijqGvd+HWR97gRGF+hTzWmocl
WO/0pKYXN7esjJCGOtFNvy69am7xsV+Ao5bd1GZAagO16Jg2kMoDnzb3JqSPssnUcYaJlBwz0x/j
JuCngJpX7wD21xwnr8L4WBo9Xce0fuljl508Nbd1VtNnMIQ+zaWLHqMpvgh85HHtfZa7dGnekhiK
Uep8+gB1QFY7C7eiGXFUA/C7G9Osh1WWKTKUSdOMz/PSNR8J39obmrbR0cwSIWr4wLcjKNT7sB9+
xlqQKx80ZbshB5YjkOcsbr0hK+Tqfx/a6B4DQKyrhlJ3CrE74Zl1cJbNCi/SDQhNbtmkHrRYZ+SD
YjvftV7yspOAqbps7ESequXBgEbD0Cdf+lUi5DjCRECrWmQs7iuluq/YlDDndhG/WTu+IZSIloax
hD4HImxfGDy1Q+0N+cmj+lWH8EKsg/EYhhT9yx7nn3b7QtVcRW45wkjxhZfWnERH3mBMAy2f6M8p
MFCTw9yjka1UJoJnri1OvdmyMtmAycNmvukQP4bbsuH5g9WsVXtj/JLc2R12PEi22yHqcTfLJNNH
bghBejW7CgxDSBtnV9s0+9UWdG1pBzikS2wPIGbsw8RE/DMh9qle9m9bLD/UFMyPQbBsL3FiYGPD
kK+nK5lo2Nwq8bC8GSbg+OhbRPWudBsmU1uhoMaQAwfZ1D/qcOvCBwjHs7mNf3nr6afR7kW7w0RB
pJHCVftlx090GJ76Mb7wcr+MeyrnzH7UkHlh6Zu6X8aKo1VAIGttQw0AAMm9Cw4Ag3zmOF5NMLS/
zWk/dqpqkcMERICegDTmLtmDidS58cq5M2InE6KdNnYR6PU0XZx5RDRs9M9ErcjmJc4JvkC3RB9F
zmzbZ6WP0kkA9y+9Ay7YPaTMQaW8Ea0Km+YBoLhNh4fZZLHR77XvBVThoZ7rjzCTXLkcGhqe0oBE
0RuFa/qZYNiLeEX2rUxnytbjRDr2pDPEGBw2OdgD6wB/DeBokzSE+6AD8qqbtPsG3qQLqwZiRvi1
U5IGzS9I6j+Mz38B1PrHM+1fvpThMtbi938NtVjqksGbJjDTUpZwAPJ/J3wCjLsMu9fB7GUx9m5g
tP3jWBte4Eb8R2j4C2r721iLFb/A3CJsAAS9dRl96b8z1oLn+ctYy7HrBPuAMjQalKZJeiGA/gjU
C1n3zqhzC+5AmJc+HCi9ncM1MXOUrxtYE1WmXR2hXw5J3Xh9FBn450JcXm6AgFm2BCO5i7Mt/O42
jCkjNFDWTRcldSDCfWvFuGa8yiiCyx5RTPy//l3LKQofoUyFgBcQ1FNL/JasmZ+b77K3GY7zNYjX
Zc3RU0v6ioT5wksbqWl9JgOmYHgkUzKX674kmF6QPV3RSTf+epQxGEsd2VketjbcnzczGAJ8QIo7
ZnBvF0h6O/jEWIWCbH07y5/QPa0/tlqH8opqGXQ3EVMhK2bQk22+DzoJymjdA3UCfHtZe5BF83i7
NUFgg4LSJvH6Ox3XboUcJuGHnXg8Mf2FtjFoyMrOfImeA0DBYJkNJeLWT255sVmXDZCER5M9eLVk
IQLODYoaPnUWHpZxYs3JpV1YGDWP5hA3K54L5nfEjOKm2wV0NgeJbGpJAihIbt1p7UA+56kFs5t3
be+jY7RR0CUdJ818pGRgrAhWtETIA6Qrm2aM/5AQImDx+CKVqXIQP8R+9oGa6w7YeUfDs03UegWX
MrF5H0f9D2MiuN3e8cFVqIZyCrN8jNUuPaDTz2wfMoFRP5zhXl2igPQzF4gyjoyg+8wL1iIABMV/
BQmTz1Rh+pkwDD/ThmPXx4BPAkARQJ0+c4nAqjBHAv3nXd58hhddDO00X4I07U4uIh6n1mfs0bCV
71XWauwNUZ/5yH0b/HIWOxvuPHZjBMfwM005499ZT8vIkvQRI84Oe8TaaC5rMXuP5QApUpmLd0lU
ZPHWvCKoyx5F0urvsIqR5ZSgUF/ZDmOo0OAwHvbAgmh3oh1vghphUOxvQS6Uf2ZEswH9VD4lHYO1
CnoWorQ1zZfxM10aXoKmXDLdHLeIr1ArIGGHN7WOzVBYULNtGcoBHhPD3G0vPhhSrcMl4Mo+s66L
XuBSBb3OmjMATvlt1Z/J2M+ULGBWJGYRukZ6NvlM0oaXUK3ZE4GoyGfWVkjEbiHNIoGL7ROTRsA4
zIbDqnFMFWPUwdj6zO76zxxvxi7bI0RAkO9NP7O+iU4uCVGhsIgh/cwDt1pc8Bf4fD10YkSGh0t4
eAaO/WHSS6KYfKaLw8+ksfxMHQMoW/q8H7AV5+Ah5z9lrZum0qSqJTftusrvtvccUr3fR7junzln
0k3Ze7By7rEp4pKJDmC9Y967RKWTsKnbis+T/ZJ8ZqlNMzTgcgK7XzeXsLVOfSygjEWX3AceGBfu
UoVyp/PZqN2HlWkwpsOT3CnzBxaDMT/u4PlqSFxY6PAu09ll52DYHZYltCHWh1gIxRvUs6W3A3uZ
5laH98iODPYxhYM7YiQHkAUmMZtHOPB9im1S78sMSbDGNqARuwtyRYSUP1ePKoEba/d7IYeuwSyQ
sSDb4d5LZVZaJlBTyElMIjZfkalPm1MWIEN/sZSG/hn+Q59UEq0DKKl9as2bNDolG6TIDv2JkYTb
Es6EvZRcOnsnrnB/onqjXqSYXyoQIS0CuEO0bcsZ44mxbcl7CFGy4APqd4XMQ8DPXcbq7kutZ0aP
6RjJ7E7BLHclpIgEQzA46Xb75tDQN49pDaIxB3FpkJcM6pR2V2scjfwrV/EYny6l19XVlAZKQxmY
QcP9dAFurUvKfINXDF4qYHkAO5MgJdF0TaVSajgkA92j18YuAahCi2+7KyCd6fuoVfx9hvcRPM9z
sq8opxN9hB85LQ/b6qJ3uQcGzNXSGdih2J8QVQSJdPktclE4HLalnhC0jBeodjIIIcDIKVnsXdoF
23IE0DbRlyyd+rSiYNpWePWLeGbxFL1YCEZrrtNtSAssKcCeAzwC12A2/NrnJiZiA6nF6xsofIvK
rQZMW9KoczhOuniBEdckQAWFbC8LU6g3jx2NpTvC31te5zaR/SFbqVdQEK3M8n2ZcYNNqVd1FU9y
xUoUhEK4gSjNuQMbVXtyVSNOCbJD9iESTWPdRd/r3jbINs5BEhyFx91TWGV9f8QKCsw5yI1CibBT
U+95wijEwqVzdXuY6iCLcwnVDe+KbO2TtEon4A5UfwgpUNTjYnF0FL7phTg1knp/xU0bvSQR8OUy
8gFht3BfQa9Gc5eSI0FA4QNanEesBh71G65jNSCYqmKwkA4swj1IzgUjCHe1PgMLgLIVQcKFVQaC
1OJ9NHeYm8OkwpKLDGxHqGQ0VFJSvNdhqGx2xo6b9CC8b5tjrODsoAJa2UEaJWiQnhuDkQTXmwz7
+4aNNCyYoxBJbDjPzwCDxhHln0YfU6otkhSBXUgJ1nrYwPNBtM51L/gDtkSkgMkcQIMDAj7zy+YG
QUraqOZ51j17kz7qkTdOmFyLUW8rEJe9wWfE1y6qK2DPcLDR3TBZGfSAT9jEYMbLXOEEtLp+/bHH
kE0PcVCTx2gFXHGGgpW2VYSuilVzPPDhGn3V2t9nbsdBXsb7HNGzz/yq3m0GjsUguxTVKTKFmoHz
XfXS66OJYOruYF6Q21ODeBmjbIuuBRDk5m6cOz/91q58+cCKHXykMwgRW1hrAqhQE0M2baIQMGAb
UwJ8JfHJSfVj0h0H7GxhZaex/6OQwkX2saabCYDJKcUP6dyi89sbxtr7SBA3Hwa7rDxnQ+MhaQcA
RmrlYmQ38B5Ay0IyB0sGNsVz1wJMA0WzTL5oUybeIzeHbdmYvu9P2DwT8KsRSyW+d/G+jfeI8/Lu
CWrw2D8HMhj6Y0Ta/iOzw+4ris0giMAs0xaezZIqe+hcDFwFIZ2FVfg2OLYVWzZYfcYumy3D92Ot
wDRGskXtAxhkE1cqCPrkW0PMYB/iNNTTc6LRPSuVL66fzRZUgCXQCkgkEvsOjDtQB7yMAfduQCYV
4S4MpVYAB5EOJwNIBKk/RJCEWy50yOURqI3GGg6wwjtElna86/oQyxu8FRbMrQbWm0cptjXlIKvw
KwsCfOMZa0ligg5dw3+CJUVvccKCFUHng+0iAZjUr7s15hG7HGokygSkVvBZdRpeEVxZLPfDtoF2
ZjH9npo07aE0tXFdmPCybG/N0D0Xw9SB7asx5ObIKlN4IsAgdLlvDok0HHALQJu5v5+AiQqsw4jm
d3Qt23pQUoLy2Dfq36AK9y/c7yYs6smLR2OXGFFrVjc7BEro6GWv2/07KqIf8zmT2MmmOXTYeg5w
EjvAUxYymeTf1IIMOQoTBamaDUuATTkk1B/AGOfu2M1uwLysaf9lXYkBQajaVebSOhMfUtGrD5mh
UzhMHiBWftlDkJ4ixOVEidUn4Y8oYUuH6Bti8UUvmu25xfqnBsV6gihjYzDaoUAQFUBe16vCtgKI
QsgVzncYZi0Wbki2n4RDXLZgDZ3tEVRrpHCGmP4bTIemKcK4hYwS9E1jgfZ5im8NXMPfdV0DxWgV
n/pKW7AIRxrM05Tbls3AtzFoyPxzPP3PnP5fEWbofzyo/8/3vv3v/tXLX/g1qeNb6NI4jjhHdg2a
HJbk/n1Sx0/QLCMGg1wNgQl8WfL6N//5shiD8JRjLsN+0j8N6nHy30iQX7JpcYSNovAG/p1BPYLH
/cckDpbtIX6DJa5YwsER/rns+/jjnJ5AH9Tcbr4EWDzBFXEfrdPqXYcpv0HPdGkqLIcuOO8HkDbu
J5VuPxjsbT3WSIG/xbJHCHUDnkXIQv9F7I/+xRv/fHKI0GATLeQq1Iq/JDKxrQ4g/IqsdNDt01Qo
IG5nRHzHtbLthPsDudH3gCJbng+Qq4u9w6Iv36muaMJaA9Cf5FuyEfqQ+u4HU9lW1vQTR9z3qTDd
Qr9Amg6xJogG30mPJeN53ycRR4KRWiwFyzr+Jca6GbhPc3Dc+KjCYlOg2kH5sgA5d1FnJcRC/rxh
rWqFhXpLMTDIh8iqZJRiR057mwSjpAXaJ7DQaQfPHDtCsSgkZsv2EREukrwxDq74nG3sbetHCNWg
3sNfN+Y/3HoYX96oP+StPt9IEl/CeQkeALP+nz/lFFarDsBOIW89QeiNqxh7hLbLithlbBCDrm9n
9zNCGmG2c0WGt8alRy6fPJYMNKHAUqXnugfydlDdlmd6vfJ2gm+ewPftD4j4FzX2wKURTD6aXqIN
/94Cyl/PHnvXE8CpFPsm/nIZ7N4gOqXRi3iQSaUYB4RGDDYq/eGeffj1bvxxicb/7z1iFz4EoQ9I
YJ8X4x8Uqwi9igQF1ZdYKkSrIMFH2tSPk7ux3L3tHJ2j9ar9FynTC8Xy508GlwKWd2IfanbJmhLy
509GkH7QHRv7kmAhUtVRF94s6DRkPqtwfU9iTX7HLYxsBKzb9pE6FBJg46EEkOzcTaLgTlgsm3iY
6CWC4aQMbkJYDl+1j8yr3OwlTbYgRQ43Jcb6LfGvFmfEl6jeny4tvADUNmA1WKKMYN9fXgDKyo6t
DEgNSQu8EsTDCEQY2x72HR1dDKf40E8wqXZkpw4snOxBbQT3XNjxokXbcYVVXdhoF0hbrSD5ofsg
BrGTAFbzkqTHzfbnhA2P2IkIvte3Gqn4hN9GbbDcL4B7jqwLn2BVwznSAlhbgr79n18WKNx/fn2X
/Z2o3ByL9HiGMvnnDyiZMWeEE9gCPdP+FPf9lVfpDGWDfuAbh8qUY6L554/4f6oeHjFGijbGoyF5
H/7lckdb3NazwyMifviyee3ybVpirFk5t24gv7T1f1ga/hryxmYkeD34TkkAUGmS4Ez58+trjYGT
RXtfIgEO2zcZD12oeNFQFZTaEezyhfmctw8h5CJDS7V+/PNX+1nE/3QBIRaPsoRXC/MZkvVfahPm
QCyApAJ8EMsA0rWOnu3k6ivL97qoh6Qu5Rb7amp6nk/eI2NG0CF5NFhoIfsZzN7Mr8IZGlbLx0NG
xpcdXXMFzTUroGBga56kTcmg6OTEuR7sklzwrzFsfhqQ7xJYt/ICB5OmWIsxLlHw4LBDIZcXAmfB
RoSnQQfpyyyn5mjrzlRcQ7LeM9TQZJX/j70z2ZEbSbf0qxTungUajSPQd9Hu9DHmSaHUhgiFJM7z
zKfvj8osVDgjKvxm97aBQgGJlNKcpM3/Od8B99s0dv4kwkRdD8wdQW/0a2ojJpWwJP8SBmV7FDkn
5dDi0w3xNFz8fn3/f8/1X3Pd4j/vuf7KfP33jmv+43/uuEjkpB/ZSN1mhgVmZ6akP93PhO8AVWS6
4hwpJcGSbxR/4p9oAGE/MBkzbuFL/1vxN9da2CTZFvb2Pwsq/4Kq/bWsfEa8XywzWIhNrjkIYGLA
Seaqeb55s8zYypiLSjd9iDr6rO9BVJIcixKYIN4sPam3Zfj45sX89QveLmzzCH4zwP5sERK7oFVJ
PWiBcSjSwKaAYPnYQ+wLqea7FF3/5038Nmy/b4MxAXAEm9DvVeLNU5naBLLcQbNcuNGB3RXkFPOX
dwz34epmWP3kSVet+Vqtjngxz+wSxTxBLNqm3kUKzkzuwPS8WIHGRMCahYux9qrXoL5JPMnoLS6K
mWsKT1lXr1MtX6fjmYnrfbvswullzIs0bgHfOv2SIcLBIAY3PEsI3NjLd0olrnPfvjCxO0ucv1Fx
pyXGzjb/zET/j3P2YkliH6ybJrtDiklctzNznjaMdz1H366ht9QR72BXB+psFdSEuke8vL1Lqd84
84Hf9Vqa5OCq8Yo1VqYlCiSk5pv6LU3Wxfi9HobuaEV2swpa5bZTraeKiuN9nUbxmaXwg2Yd2iS6
3oBcwYnn9ElVDItWHkbBzN+NxKoX2vfYa+uNN8SHPu5d6Rz13lJeP+/N7wYMNVLABLqEckWY8vLD
lvCAyhgr8TpR9FqucXwmz2MCYmD7eTuLhX7+jnQgYglNySUAS/Dp05l+YlY14ldWuWRV5mAvcanm
anbRj/6ZF7k45tEUqyxKf0xt8yZz2WVMv2MjUMJUyKxmFU7Xg8Zkc27j8v69zY0AdJhxavM0cPo8
xZQkuVBgKYVVuAW5iB+vH7ozG5YPn8QwQavBlcQ7umgkhe5VtZ3EIxjk3lbphgJIcPEi2RO7n3+e
j1qids1KolvGDGg5fRw/ciKNMU43CNQ18zYUc2wGQKM/b+ajt6YTY2+wTacfzAvP2wXByiNb16BA
sqUMHi2jegCzf6aJJdro9+fHpcXYVfk0XC2ctqH06BRVkEtg3/EcxJ7UbhMPh35X5Q8TCCG8z4iM
MMJ2rlSceF85Y7XWsla9RzFF1W5gX7gZvDE/88M+eHYGGa93VgggP1j8riEs6kmFLbuOucP2V03q
UaaFc3f/+Sv+4EvOLCMINdycsF1fTCPoY6QPqCwCMx1C3OW6APORDtzj82ber4I2oSsQTZkygAbN
VzMnn7JRC4jbIXBwRG3fMa8MW7+JAMElhqsCet9oav7TQfqGnIf7xyA38T9qZVsfQ0ONL0u/DPd6
NBiHcrZJWa381bSSmlUiA+w0rfrj8587v9yTdZNfy2GajbdGwty7o6dp+XrC2Y63Mj4kww/Lu07W
2t0onz5v5vf6+64ddvjc46D6ZtievhXhYP6NuThdG51JtaHrt1TBh2s7h92whjHYcS9ac4EGqnDo
qeUO1b6NtXZTYaDfoanLzQ3i1TNz7/uVha0h92vzps8GL7n4VGlRa+oIMXCd46q2q9G/HZzuJW72
rXFo0l7ZgzRRziyiH3RDLhcglIJbms87ixdhAq9mVRHEj+jWJu/tBBZadvTy5gwSdTmqTDZBDCdt
XjkpNy83RJFQELalfNhi9JUbJ5AecmytPtPKcvVatjL/ijdbvglBuEyzgLGbl5obSB/zeD6ZF3BQ
yg028vbMF1u+vWV7879/016AlMPvOp7KqBC8X0zlF/F354nfTUAi5gKI3T6yidMmzFxtuYKjCSe5
NKkhpDYWVP1c6NDyyM0RF+vQLLES5KkYrC+nzaAKb+MoU2fEtt9f1lIx56Pl8EdnBd21ynH8pa5r
dUvBnmSC4bYWzFpT3k71mflqOQH8/h0CPNQ8DvBBLR4XW7vIahvdhV8Huw6M58qmjLIKKIE2mtpt
Iic/02d+T+hv54I/m8SNJYEx43dYTPi20UuUFChpdKvFWEwl+C6FXYRbCIHzFHbRA1Ynwx0h77ml
7FxTKtp2iIPbGA4JgQjXiOP30roTwiwfm9I7Ew/zQR/D1GUzf3M8A0216GPGhCY+1OFKYdipX0FF
x1sAtCyFnjeYZ97+ubbm8fWmP5e2zOfrPbTX0EFGVf4wseZSWjrzSPNHfPfG3zzS4o2r1GiDfmLn
3vuOfUmABHIUnJ+mfkOwwz2SWm3V5O2LVeWJ+/nE/8E0xHXtfHJmr8befdHyFMaNoUhKr4YJ1mWo
zPii0uxzk9370cSyQiCd4DA0P6a1eI8sjmrjhxrbmjQACJime/xtysrAyIk+akumylPe+3vHy45d
G+xQAZ6ZmN4dBNm6M6ZhR5ClN9d5FjOhr6TVMNlwOwff/2E1+nUCC1fN1XDVpsGNqJpHtSXGJMRi
UXmHz1/yu160aHvRY5scXGBcd9W6kq89kiENWCjIqTN9dQnZ1paPuHjJouhngHVQrWfXv2W1e0sJ
XxquWFamVhxNxAVxN85lgYO0FH3VwcdyRd3tPn/Yucec9OX5YaHE21QCiBxbHjBiq6xRF/Cpmzi6
LYPuSO18o2DQlYm38bgdPfPYH7U3zwMU4Zi4TH3xcm3LG2M5GIgPTLJndGs3YAgy6VOmAUsnP9Pa
hy8ZKS9PN9f8OEidzgiB0nV17fMtYZXsgyI8gqa7q53wmOnlncDiXpjV7Ae0LosQaxRefW01Vufm
6OXOaP7Ulq4C7cPcqlO6PP0VCIz6tm9EuQZroLePTa0xR03gIm+UuKQGnsm2Lx4SfEIAhZKuMO4/
/8jvpg0OwjZ3bVzezVpl/LUn82JWYy5sGjaF8dRf8pZ9MDXB37xBmQ/bc0SiAXSTK/bldUYehWmu
DWq1LgbyB4127RfBrd0496aaf2288czG78NHetOcdvpIPRq5KfCjah0BHAK0UB6Hrn34/LXNI3Ax
Nk4eafHaBlsPuGyYUMdaFObM2QWfWZvOYzQyJ5x5IMFSvWyPgzF1Y+Zb7qHY0CzGBkB9GwVEoAB/
Kbn7BvUgXKMVSvWrnYigQZCq2FCATSX2Nk7j5Q85R08Dz3BrYAKevGKkoIYK2kT1GRU3tk/c2HOA
jzG5DiORoQfE4g8drBmN6UGbrOE64XL+KyYo60JO6hR/q+sSZAFCq/ymzzlNABQkVWw1RtGMBqjh
W8dVWd3a1pgSy2GH2g2c/Cp+cgRhTkwb7XTZD869FQGWry3FeqIWk971wA7sy1Cr4fWbXRd2mIkS
K9jXfZ3fVSq+bAEtgqyiqRu+qL3WsSeZ7PGG+lt6GExpbNRS836FrKxf/cQvCBoS1nVkwdCiGlHs
9Tj+ZRj1pB9AZzn9quiEGJHoTVRAhpzwm6bS1XgzJr5v7kaUHeEMp9JK3K6Ew4yVE78ksU3Z1RHa
MePyt990BjZLLpGC7qtaOBrRTB5AEs2ECmLYxVQduwZMUwwKPdGa4KI3PO9IebDbJrEODqOszGdV
iadqb4xCvVRFpt85QypdCGEP8DWb65Jw10MP0ZEqFEKXug3wFEUkg4kaQoOn5cGm72HL7qlc5f33
2kjGdN20YFK6VieGAFPgTdU12i3Ar2LWhGMTJdUG8P2oTO2D72Xak9EMdc+dVFgY7mAbTnqAUzFd
iLhQ8choKS8u3TS50oYoXcoBTx+RmJRKj70eNXjlW2CTarlLi9j6auZJ/QtYmdyMXYVI0AcCWkwQ
v8byNp0z1eiaKBOT4RemmZkyQzQHNP0M23eZ7gqIgxqBQcTg6eaPIh2DCOWNv4qjKXHhepsbC5pG
DdTRl9dlqsW3wlLUO75Xc4OOWBVXiIq/GyqFQZWP5q9CH58jZmoTQDtbaulkv2Q34H6N7FtCyEbO
oM0aQ3+66nMiObJS1Z/jevpugSb6I0pkdilqiDpeNv/AMC4OuOqKA5BvKC2mj0Oz0H4VUq8McG2Q
fLBdbDA3rlpsn0oSP0UDumSzyA92p6AXbfV7L/jpoCklmdAfla9Is27GnG/MzCRW5Sgfp5mEglS2
OFoYldf8IaTyFurdal7xFSCiFwV/1PCKVrsJnXrkeJKP66kNqJkPqthGorsxWerQQ4xi38MKwaF2
kQzlZkrUx0SWXY18kHKB4c/3Xl23KuUQfstqdi817I81ONRXqWJKLsOkuHKEmI7sneKbhBH2ox/A
DKylCQDMq74hbbjgZk70awCsvvPVGsZV76U3STM9pcbXwtv0reifcrpHdqfZwZATYNZmJGWG7T6o
HaLUlDiLH3qFis1KFaX20Kq/9ElLXBWPmxk4rp0AKNK0F1+hmw1ChYWpEMfFp28eY+62LuqoTp5I
OghdUUYmrioqA8eGua3sQuzjRPy1iqm91hAXt2FZOwdk/cLa+Fgz1FhcVQXs56RZjQHuQN8xflpd
eFEnxjEL/C2I+c3U1AygWN8ENhjaTZcYDQgppJm4x5GI2U3+xe+SwjUp0WP5bEg2iXAHolvjKGvz
98mU1YNgr9v1JpucQ0DCi64634xW20LJcxtWiGQKt6Q9gShtnwcrdtUopLkIe0zS/GhTQBKcUvZQ
6zeNXmzMod0X7T6Sw0qA7uyhQNad57ISkEyY982+K0z5XPZicLOs/so8hugcJewRG+SR027FMXP6
ZdqAxUJIA0VifYHc0F1HJtOCb2JiRNY3FFvBLdt3GJM9uwDtRqFfYO7Vpys1lsjow0j2Gt5pTk6d
39avdVS+2r5xN6lJsrcj06c+66XlTaE33qZTIlFtzMx+kD5fujb04CZqJyVfkW1BbErllfeYpye+
t0QemuPXxyeYJGt91OPv02R5h270fgDuB+Hqd+YXNSPIYJLBlZ55l02gfMkM/WtEbuHsvgduZN+a
Mhs2Vo24fpzKW3QR5X0JWmwFl43pNVP6EIT+gHXe8ltHHAy0vemxIgv1LnW4IRQDYs5VAEkbbhrr
w5R4z02Wa2vPbqNkk5K7NhyxvWY7p/N3Hkr9lYer8JcOQEPdRGM4Bo9Zk423Uo2HnaKkyqVvJp65
m+rUumiyOFDc0SZwMwSodJXo2pEh51/ado5cHFt/QWJtE0RI0huborcQr3U7PKvdYBZHKgo6Yvfe
e3WscQAtMajTDqDWbYKskiN7GruABK5DmY879rWuMgwuBwbXjsejjZsjqWCEIV7UQlhOpBuu26Ie
9iGKyYYYB8/g/o/ssDXgFPUZRmquH9Ukq/R71NDyZyXIZMNL28LWgqtUmVdSDa64I9nVXr1BrLPG
y+SV12F3Hdbc6eEtWCNxz8HZ6VWNK9jw4ZyZ5X01Vu0xCaoeRgqGacaNHX21fYQzxzogGAooGAyu
IB2gvI3OkDCgGaII4bXqUBkH/L/VF2eIjaNhqXLVqpkGmRcdpnMx+PDXSq4oVnRmNVo3tYqYauQq
h4tSE8k7hLHenx7trs15QBSqT1PVd1w6wb2I1rVtZhsHAfXeIz/BZe/z6qsye63zqatRzhRfmale
uIUuuDVvdCJBBme88zWl309mWl4nCqhhDJ84W9ZEjMhroPnoOATY54opJu7xbIwx9t7IzovVKFBw
4Y3LrwZrVN0cUeCTEld5v0q7CHYeMbbrnJsEtLuqUYV7DR1ZjZrVgRFG7tC3sir63QAeyWFJMQbf
1Wobq2gvMoFLOHRKY50Y+TNWsjWq8a+1VZgulBULjFY3XDaacsCn8DDYIv8WWkazS3QCeApTEai5
jb7fNGHfX6dmOt4GGYLZUHWeZdSAeraU/ZDlfeACwUl3VhFriO5H/0ZgbINxyUytSAwfovNIm9Dy
qdhCB3+qDRiQc9Cu6o6lE101aUgoqe/7X4nOYYPihZC7V2m5L5osQK1noCEex+tsqO0I0qLcB3ax
ViRWeSr4XX7b9HaDnX2IXtNRZq6aOT1heN6AXN3bWV1+IYymvCfxNnRHTusumsB4n7ZBcJnZ/aEJ
VCm4a/Q3ExE7VdQeYJFU0E7iu9SzH7Gn1DdQ7p6hH/orP5PbCcoFV4Pk4kDsYDOjk+b6FdqB6sCY
6WIEywikmdO8a6yB1l6fOsT8wYM9Z3HCVWZ/2MWdCl/UTO+lYI+7ggfQ4whWLAV2mX4flVoCmFFR
j/qYVxdAHeuvyTjc+4m4k97wrIxy11sgefZJwpRDXi2uHDA9EEvNFwjrstt4lSQRPFYFGF0Ukcy/
hwov1G3Y5DXWAUPxHHC/WfW9D7LyuQGKcl+w8b0p6wybRD0Vj+1UXIxKl1ZkIxT3YUgwodY0OwTY
lpvnRfxrAizYetXwtSgsfPdWyG0t6atfMIMPqJm0F6sNf6bpNFxi9PGLjROCMa6s9iqMtH4nBh6C
XE91G8ThFylzokTjFgfogD0eoAd03j65wJ9n3PhJpO1gs7QrvWM7Xo/hNRSay6bSNg6hmK5j1f1D
iV3RjcIBQ4YCxjnKwxeTvF2zK6xfFbBVTjKFT8i7fTRD0n9tc8vpdG1SzNbbXNk1EfuBpJT5ZS8k
KWa5021NglD3prAhvyGhdwHdYGfqmQZmPew8Htd5YOJAclYdqMIrK8FVMY0xREpjSJudg7JrTZg0
C7dG7be7kEaXB+uh8nbmYEKFF82vAbBNuVLHCklVPsDUiWVDvrTFoeS19XEGoGciGK4M+m8Vgl+S
kv3veNdwbHggG/Kgvnec/FtWQvjs8Hmml2VVQVsbAXMwAIL4ULWivSoLNlkgpYcbp8p81zaKId9G
Dl4nk4SZ2A1j1adCxoXhyvGCblMIEzYcdSA9ZD7FjFLBH5q87JcmA+VQ4UnddFEJ1AZmE4HFEbk6
sOUrbqZQaG40IgCoCTckc4b192ymrDVe+BxD6CSwhx3VGJZM4gBxim1Stfpes3xCsOkGyOXj4Uum
OzEZe8q1P8S/cq2t7iKzyXAK9E4CAJhlct8wjQbAYgDNrUXDPYxrYhfzXQZO9jL1wNqPHJs9/wKQ
TZFdEm85ElaclTJLZ/OKc+94s0aDMyapGK2wuwSITJPGe6dvK0KMrTIrrZXDmtlcxWljUafyBqdx
Z6pwzGztxOY9omJLbim5dMLFA+0cGPZjcDFYWZXeYpLMPFhAWd3vOz21Z9Foo7iBZYpNm4xyfA4r
XSPAx+j5AZHi1GQVUoEtGhusQZPhUfFNjNnPWPc6wm70AIyqCATcadlaxUtpgv1ZwZ3CcqAbavI0
1p2VbPphHJ+44I/lrixG5ydmv65xO90qLrtIBrewkpsHh0SgP1rN8LKND5x/uCyirj/yJ4Xyrfdt
P91FQWV/QWgOE2XMgYZ9h3Ph3HLsyJmVsQPJGzYkVv8laLVsA4AWIxmUytH+gq8j826CoqttgKaD
FV5GAA3965zQc8NleiqYktICca3TXBZ5IPbg1O77LJ8OSlYaPEv1s4IGQShE1tTYsDho4WCDynNM
46x0nvOsa9sL7qMT4mUL6ezi2CDljP1Ysx8mcPfc8BDNXBh+vGHx9kx6o3M96g2s6V689CK6yBQI
4jjeoSULJWvALTtd/NpXfvUUij64LICdceQSGdNgC3zKwBwzPIWdNPpuV3iPivMQhtUR2gsHcTIn
mQoKk2Q4u9+y8BVdcJ0HqMn0n6FfPszJbN4RZ7F2ydHcP7KadgAoOMWqO5zywPYnd8CmN2zSSlrp
HkwWydx+CB8qUWqguIEGadxoVbfWQvvSGycw4lkjNp0NXtHlRV8noXchQ4PsgPFCVs+69W2cnPVU
iXDryTG/9sNKJndVpZnePkrXkJkmuFjGdRMY+R1uVNeabmkw/9protgSPfAtjtju+xOcAHE1ec8V
EEsIlfpwMdYtatDI4Iouqkjoi/TvXHgo674b9ZC4uuyyqMPLoFSbK2TtCoj6QuEtmRjfodPjrsGp
3oOiV3fdMKk/a8oG7So0Jo9YBMxxjwlnASNm4EGo9LrqgmwheS81UX7ptfKpuCDxtLqEE5mwWhYz
AD8Ctoxiv9EvNTijaEBzwtn8FLOvBtmzRJLMdE5E8rbwgJJvEzX2bgieHFca7leXEzsmbjZ7gfJd
IwSB4A6I0g1EXibZbAKonpGsgFeoEUTMdxkq6jEp1mEHUbNnd8gbsmQi8Nnq6cFwpjLZhJWZYvQp
oO2vYj8sq3VmBnejmkplq1d50FylhnIMNO0b/vTh1SINjqxcBVOW30sbehgxeKvUyswXcH9cumQ5
lzIVF/LZpR2HTbVVhgRuKWPO7bD1olZKxvraj0uPCx0JUrQOVH4wG7dk05aW/tiM4IBbP8C5nhV/
DLF6wIDVs4XT26Hf5D49/loZBZDxFu4RKrNi01v6z1qXO3gAzw2sOHWfpk1gcWUVmK5FvfJaZICQ
M9bmTcw4eWRP6t83TrE1ElP3N17gGQdNcAU19aq8wT2LVy7B8UVQTJl2w6MOvmzF1Ve5DoVN3hee
x43qN48D5BjzOwQJ7zKK4dn1E/xoycq81qbZvgOzh/kuIyg+85RDayhXcVyLbR5Uxz7vrjsMody8
OcdWKYrrVtU3Wa4Kd2ztOnaNZupwhBFOKnxEXr0M4FkoBvx7KafGbXyFLjVlxlVRVi31BvBwwuvJ
PxjZaR+tLNW4T4iR3HGZMCjroEuGG9irzIp2OHEOs/JfSRIk0V1GlsCD41EYWosa2PtKTZRn4E7B
5aBYKjr5TB3Z5TWDd8DpW8255lpbKuAAq3Y6dkatXko0VvbG8/I6Y7cQ0MsSf3Ljjg3uNub2Il+B
6sgeg9jpDxPpHc95IKPssobErpCXkZTaxje1uL/BF0Sg1aSN1ngUhf/I9gk7o0OIWrPSh0H/pcZj
2hPKzPmwUzSSo7gwPTiZ1rwS6NWTSzF5PxLgM8qus5X0bkosQnKUzhNuXEAXWmm1PsxTTYpqdkJM
QrLgzsGO8Br3jXrhiMjfe1NnNRhUmhxbYoIU5oA/T2xGW1B/2Ea1Bfp5y+V1kRr3RWMF3sCmaXJY
7wj9gWnU/NGHUufkBWGiBtYv4BNxS6W2PjIgsQ28if8EhdtYUTD0E2g57IKi4GLAyMLglj2U/sSl
+K2sJ0IlUikvRrU2bnCNAw1sJRr7OO6jo98kyWM0Mye5lxB5DdSrs3XOZykBLVo5cg2/HxK16L2Y
FBgNzPxL3yOfUVTdw0zcDT142RUzwLj/e2UFut9vSZNpqMBTyX09LV0Q9DXhzu6rdY1HJeT6a2QO
N51HbzhT9lmWneaGqOqZYEnxlhHAd9qQNpSNo3fULygrEKkYaTNVjbSAwHzm0Nq7VKNwlnT4RD9/
wGVt5ne7BoJx6tSqBO162m6AItxXEuRu8M6SnVr58XU65sUZ4cOykji3AjNWmOiYDP5v8Rr9Bh9Y
kPAaA4LqZCbWfqqV28myt1lqdocGAOyZauKyMPy7xbl4acECQmO3KOM1AOVk3lNMzNIbZbyAGLI2
A+NMI8ui09wIlVHHQP5soS5cvDx2lhmSulkrGB64dubUtXE6ubJY0z7/Sh81hP/LoTBKFLh0FiX2
ItH0VJuVGDp3yL7i7cDRVtdxm5X3oRedqal/0BjZl4IiKI5IwgcXuphoUHToWQ2NdZwO2Xqwz67z
as3oPfP+3okXeIEGhWXdxAmAvWgZXq1a0eijMaf3fXVuCCgzqycPGxiLQ1ZxXx5ubeNgEob7t98m
kxyPiNYJW8DyAcPK8X3V41yUgEQDql+qz4On9etsRnN4OZFKn7f3wRhDEYnbAe7cPM4W3STgkhZK
Nt3EiX1S0Sa1XrW62PzfNAJ1SkNqqBnq4qsZKvuFHgLmmvBg4pCJ45xR6eOZL/ZB33BUC60HKj5z
lk6dThctJda6l7y6zL5Ju/usxxF7XyVfPn+W3wPnbTWXfkEzcwwp2gPMIovqqmp6aVxEQ7nWEkpl
pALXYf/C6odwJzmS53SLqmcrVQz8UF9WFoEt4FIvNRLTuHp60jJes1Lr45rsxVurr/9+/2Egohil
fm6hNVzMLUGTQndi18D9k0j3BWBdtxuL7ECMiFhLhEb7z1/H/OlO34auakg1cSijmOfbnr50Ytpl
DmOOtaGOdo4/rhPbvo4w4sp23Pdjsx2D6nsTJ18/b/b9twaShpx39jsw4o1FjwpZ/cvYqhj4Rbpj
5XCHJlgbtXnvNfaZzvthU7qBy4FR6eA9OH3CIStjrZtvKlKuhcmxUhGciIpj9pl1aB5pp2+SBQFp
KAudg5XZWHTfjHKXUxfMo7KM4P4QbNrilhYTkKHAHRsx75DPjJh3+t+Zui7nVFBNN9DuLHN17d6U
FcG9xBoLXa7GQeyaABovRyBK5epTLeI/6rze+9Q1SpXzasytnWzuo4ha5ucf9N3T68DjUIGjgNcQ
PC/fcqeIegS+Wa2NkKeVd3mvrikVriTxeCLZZ+dcM+/67dwe/koLH4nFNmrRbwG702lzjarBJrlt
LgD+usj9npvd54/1bnNBM/PsOivPHdzLi+GYmVwgmJwb1lyHZyt8HqQ6eeN9YSiPbEJDQnk69/+t
Re20u5LzYqcaRby1mfyoYB93iUL9hCKE0mwxjZ75bEuBHfpBXPQsWNi8gChgMj5tDq1SSV45KzB5
DUdheteyTt2CMyrXI7m/1yYyTQplGxR/uZv/lrvyMU/53/+a/84rGM4q9IPmt//v3/+0+5lfv6Q/
6+UfOvk7mAT/anfOcj35h03WEHNw1/6sxvufNVy8f/kL5z/5P/2X//jTC/k4Fj//+79e85arI/5r
EGYyjJG/G/gzJZap5T/bKp+ysPn54x//u3r5/o9NGlYvzc/63V//C2wBo8ImH9q2NClYoSTd7k+b
pSH+aSANwmfJMjl/Olavf4MtVIx6TKZsdoRwBL/mLwKlpv0THxTX2WhGZ1kW0+2/XsPtn1PYZzbL
ecJ8M9HRJjI2VMDI9gBsYHs67TKmk6ZlAnwXfrfdbWPdyQ6hl53T8C4G+O9WsIlhFQPGyYlxMfJs
ydmQyALN1SiLrRWO9d+Uts3JDlLDS44CyqrszMqdmkB+Sfoov33zbf566LfOznkXsHhIHV+nmAWw
TADLgU/FPs09cyS9AMcBmCAVPrgI4FJWxTkF6GLqnJ+UplihaIbVY6kKlFwuaJoCLC4pna2eTo9s
RIx1GmHZnyxuGbpZGgG08Y/Pn/CDzzjb8AhmV1ka9SUeoeoqKJGpwhMGkUdy6O+rNO+crnSx+v5+
OI6APCAAYwNu6WlnAaRmTrZHIINKtt7lOCTZN2WmUwpq05cqcv3Xz59que2fG2S8sLPjTKgzqS16
p1Pg9mvZ1RAoDLid6mB6UMgTJQkZMVXlkoXhtWuTmLdtq2nmr35Kv4VqToJoJoqnM79Fvu9E/BZd
Z4OF4NJYdqKawEhLBL7upl0HscG03HEIbzwSeH2Yf2s5EQRAAMmVwW8+2FQqW6BW3/wI2D0wu3L9
+c/5oEuf/JrFymKnKHwdXZGuwfWjOxn1Cw5b9ajmyL3OLCsf9C08d8JRgbHMVJHFV2/0mGjHoZpH
D4qcoYwfkqLW/vTnsxj4P/P/2RBlXeb9ipmyY84u9bcq/8TCVJdloLQcRupx9uatBysK9jEKyDPb
gA9f3ZumFp1KZ1c6mBHwaqBfQGMtiH5WW1w1Psi2zz/Sh28OhLCOphWb29I4Iqn06TUzklsMdbXJ
LbW86GVr/+2ugOGY0cG8ZqsYZOfnfWOQiKMOoZFlE3vmSfWQpdN46OIkPUDAP3egef/qUO3T+aG/
cFsiZhLT26YCPhMQSqsAOpI2X9LIV/YTO5wvfu1VfxdmY8DZoMexMrGfMZZzDarIqOScVLhjbxW7
IIdITzLecOYLLbaETDB8Gomz7/fSwNpw+kCj6QyqRCXisnqLn2Yto8t6Mh1SEsiU7TU0VZHWefvP
u8X7t3ja6DzTvPlg7WDB8PXI/jI9YX/BRN2RraliOBaJY57p7O+74PyphDGTrKFXaYsvlpfkiRiV
SSZk783hX1RcS0QGl58/0fuFgf00OHN6H35O8Xtj+uaJpJhBotyJu0hwxV7WhbVXWUdWIEJ5jUIx
zph1PvhsMwmFEyfXhNx2LaYkIxmsQFZcDU91OceaTnm/9iA7gmTMxiPSwnbjeP4548EH340rqPkl
4q2QGBBOv5uFMEUiEIGOi+EaqSsatCSvGtdGL3fmAT94odzQOHRMm4kXnOFpU0FQdgNxBzyg2nY3
uVG1D+oU2sSmEFQ7K9iHM5P8B0vtDA9gp8m+BRX78uxQ+3E9aGVYubFK5LtWo59jkSuh7MPftKgb
44onIqoyXgryo9J11bTNnSP68g7ZEqCfzzvU/CpPd2wzZ23eqtmgG7jxO33+EM0dWhWu0o1Eejal
5URkG9E0AG6DzC+BzZCGwhnZFBNKKYHE4fP2P+hgzMt0ZtOZN3LGYl7oMoIQ+oD2WzT5W5kpBdKy
uiF1Qby0kRMcSrwfZ575Xfeab8vwc8zznqqZy2uU3u4Fho66dTWRRZu6o0AeI3umtJ/9/Pzp3n9s
mmImN9lfaUwNvw3ab8Zr0Uj48TXZgX1GLp+bWpq3s8n9PlRmI1W3J3BnN+I73oDw1q1ZoWId7F5v
j1bSl6H7+a/54LklpYwZEgLlAYrA6bdGxDU1raYg90oxPiCuKu8NIMlUOfPozKLyblhxwyI48HBw
mru5tph5p8wePcVIG7dQ0eJXYWStSVIaniiF4kGnAvn180d7N/vSHvaPuV5DMjDaxtNHM2dxIXqg
1q0Cx3mNyTrcOk117tr49xs6GS00I1kv54t4Zvnl54w6zwsno+exiti7ELWDSDGPMSqiV9bI99ar
ahMPLVryQQLmL/1oY8VDeOwLu7kl5gQJ7dD6OlmWTbj5+2/AQCJNX4MRwmXw4g2Q1gIuXjKQKSod
OymH7ZQnwZnd47vzpakyMc9bIJowYc2cthICx/ITA47pGIdFQNV3ii/DKfY9F6SutpOwAq9qplRX
I8J+j7DIUc504uXtneSuW+cIb/Ed5ml7mU/oYxSB7UuB1g+A1UJI8tzSy7AH5Jpx0ZKCRUJTAZ9O
Jez3K33Uua17svdsEK+wgyuxL1QjOrMsf/ha4DzzVua9+3JGQaSpWXHWMrK8PCSWulA5K4y92nDx
hZljr4YqFtdOTY5jpk77HoeDfmZSezeR8lpm9A7n0pnmtNx/VIltQIqfu2Yk0JfzNlZmPMbU1FXn
16TYiJ2VSZwZ5kv7NB+DchE3zRwmJMCQOfXj7Q7LbIF4+HnSE4Mkn/XqOsubK9tT3AyXF1bpNbWe
g4QtBZnsIpq2CAQO0vrRkR5Z9yiJ/Gad+tPN5yPh/ZuAYsrGj6kOmCn3QKe/KXDEEKgV4dGopNrL
uK//D3tnsh23rqXpd6lx0Yt9M6gJgxGh3pIluZtwuWUPkgD7p6+PPudmKsJxFcunJpm18g7u4NgW
RBAENvb+9/+Zd6ox2vvFJoTQ8gWk+ew1X18f9PcNjyVJazGxBGlV7zhkmVsx9j79+pGgHH89/yyQ
UdLYA+4Cd7bXhzrxfByZa8e6Rcs+m93h81WjLXp/KRBG5Zl8sKq831pCiMeilM5FXKKKWnB2OZOn
/32Fc2xYZMlIeXB+WOvzvzjIDDtFIeYzqRnooCg1BRKBRamLcm4ccFV0s13Euo3kHGn2fNeZzXL5
+lP/fngxrk3AxMGyVq6PYsKkQbXeAS6IdNnHm5Sb8nXs1eoTMALzzFC/HyaYYhCRmLxKZvg4idbk
zRqPLXM0lU78vRJx9l701qfXn+f3QWhpJbvD50f9GBTs4YQ28UxPRqfP0Uwbww8Nxcq3TFCFeH2U
35clo3ABwFKRjBsB3uEoI3WoyUjzGWmHLC9dZTcGWqiM7VqBkk6zOThXODr1XNxLdEqeHBMkyI9G
pPel7nWoWxAB9QtLttqtOQ7nChmnR/l107I9nXj6aBQ9wcSzoVzkaAVde1i0b5a8Knavz97JUQiN
aekhG/WbmmDphwwskJppOSJsqVTuXkPFnM4stxPvyODgWKuraz7m2C+gWBXHlUdn12hO5mVdt+5l
pdH6Y9MgFRkYXJ05KX7/klYvT3ZstDJrVvwoVpqKPgf6zHi4iWjUbjXoRtIuBTb003TuZDz1cLQz
oyWgPkvj+tEyR15LwllpfaTFXRqBItjnevJT1/N7Vs85icmJ98WVikvEukmtx9LhqgA6Kt12Bjjc
QtjjutTZdAu1/cXrq+LE/K3fkqFjAE2ZQT+aP4yeyU5qTh/ldvJjtecgzrE+dexG+38y0OrPw22R
beJokWu9lJbRWDSs9K14144Cj0YyXTfx0p/ZjE49kmEinVmPcJeU3eHEaT6aaj/W+wjznuYeHxBr
S+tF8wjt6Vzt7Fdi/jCGXtPa/znW0Y1vsVMz8eHWRG3jJTeDxCsRffmSTRv2v/jB6tTg7nDIMtQG
DO4iiKCaqdu3wiPms2ZVBxQTLawVOqceAACMNGFs9N7LrrupW95NQk7iadRE80M6g4khQVHNXlQt
QHKi19/Pb2VAz6V26xJrseYo6RzbeGmADVIIQ0OEwg+yVWqp237qOnrCO7mlYzjYenFMt08FKvnG
VFl8MXt28w+W4zqhmNzhUkB96/Dd9TP32RlXtAi4artPTMLcRnf7Pdkj58xQJz7mNcwj0MH8nMjq
aOXPXVNjhIdguy3b4lZYlh1v5gSSGMhL1KKp1bpn9qqTI1JRWDUdOovmaLE4glcwFN0AdVlNl5nl
9ljBYRMWJn1s3FoFLgmvv9MTWwi+bMhoUAis5brjLWShz8025zFKAxpw/GCuw8R08zMr58RjoeSg
gITRNjFAsP75i2iqK+14HsDqRG1Oy1c+lv1VW+TyYtEz+RbkUn9mvFMrlU0fkh7ZVfxej0OaCgdu
16w7OllnKDzJ3Pa7JTHFbnU0wNK51L5UFvLNiJr3CLc5CL76PTHQmWjEXBfI0bdPCEfuktOArJOz
zv6L506S2i1hBE2R7iLZl3RrXGqk1JONZaf9zWSX6VtL+MP16gJEPxEk8y6fkERoC0b1Zd/cw40B
reHNdrj4dbVLR5Vu5iGB0hnzKYaipUy1+GZ/5og+sT+u5Shc0YmmDAhxh7/3zPVFL7D4jhp/zvRQ
uNp0EVSjcS/EOH778xXIiueTDhDD4btyOFYwJpqOdQNzlMp4CykJhMDkJLt/MAofM1UG4IroYA5H
GbXAXzuBaIY2mvgC34v6qgmGc46VJ+6HpAvQ8xEIUkL3jh1kZpGOOM+x0I0qcb9DclE9iqI0oAsl
doNLvUqCfmOS132e42ptvsU18W5QenkJoeKnPtIB4hCV7GavSO4dG5Ah1GFLXkyGPrx/fUbWSOS3
tUm0T5yC7yV6y8MZmTLHnjD7pvso1kC/NhlG+wkNFckCaxn0ExJBo7G/vj7oyYXlUXdF/gQQehUm
vPwgWrQldNbVU1R1xQfZ++ZG15GRg56stq+PdGpjM1+MdPR4igRnrteMJAYhI0GT/W26lOOZRMjp
54HgQdUa9c/xidh3bgLdW8K88f0klEmv01lBp0EozOCsGe/JR0IbT+ZjdeY5/ipznHdbbWRTK8bC
WDGYK+ZOb8480qlR1rQpqY41W38cwbbexIHhqCmyR9q7jRkpbNFglvH66zk1cS9HOfoeC0NXrWE1
LATuco99DfSzm+r5vU2jzjnJ6ImsNBm0NUPLokOKfVz0GA171vOkG1kG/Uj3lT+gzqQz72pIKv/D
KAPjaqL96OPU0EhnYhR6E3d9dm1Xs+9Grz/36d8FZfNqakUR0j1alwOizgBX4zGi5aFkp4eBXunp
h8nw5D51xc/ByiLRZ8lV1ikgSlNGu6R/zj7o5DtedenENj4ymKNbSt7HqT4tiPpl0DYXzmB0Yd2q
6swpcuynRbaMCwMlUDwCsDlFtXL4tXsN3G6vZsoVZLXrpUqKB8Dv5h1nrfIjM3a7K1hlHkYJhfiq
+V21iXEw/WiS0fsyD2SEzpzHpxbdy9/nKOy3saYZ7WkcIz8GetdLJoByRrOtTdSer7/nUzNsI/13
yNCjXj1Od0BU5d7h8pqN2eqwQ7HnCGec5Mwmt34lx3s4Sq81JcmN0wmOYmHZj/7gYC8Y5cTsdNIt
VWGH41p6esDDqBIRrOzmRp8ViSorzuvizFd86ikp85gkgQkgOUoOXzAlW3osaWGN6jSorlr4eJum
qOS71+fyd0bSKtBHZUUsxf/QAh8OY7Zp0Xc+iQ9pzemX0nTofvOWXnuah8C5NuoJm5UppxUSLV76
zSkC6GDJgDbmcukM7cNIl1IbOo5stL1qJvex0kr3XIPEqeOUiV1VBR6J8WOJfVu0wL8HfSSrAcuz
SqC/6WPn0R7mVxdujUULDHrn6fWZWTeL4/e/BpdI+vH3ReB7ODFJ0mc0W7Ox0aWbbbNU3fcaRta9
63wyOu3964Odetke078qadeS0NHOZda9O+kz3wxFY/PKaumF03On/wfHD5pF3yKx76F0W7/hFyHz
YBSOV2XMozWB7+tEdQ/ZQD6+/iinvhsPETb1M0ruOMwfDpLZMxhenRpB2+kLzhNGpW2TsSjJ48vu
M5ZtwTaPLRUG+miceb5TrwxUAjk2CN1UY4/WMlW6Ia8RCkV0PSUrpTC9ahvNSLeVC4UZ0ntVPL/+
sCffG1WkFUqO3Mo52vVaOugHfqMpGumLjxwLiIwGvX73+iin9taVOY6Ih8QXCdGjKU2xFgVbPEVx
XBnog6fginpMd6mv3dyvD3Xq7fmIn1C3kixCZXo4VAm9gy7OYo78xBrvCjrLnmOvE7SSJ9q24r1f
JvRXfwQMec5K+9RUknzFjRK9HiCTo0+g0T1FmVQjasEt631WN9amqoR9pqBzchSqyLwzA+HscWkT
Py03G0qL7U6lGIYEI4Lu0ayDf7J7r4g7ynir8PBYjd9wFAsXgnm0BJOxDcZg3rtz00avv61TGyOV
S8JJZDxM2tGctQkrUtJsGjl4+t72WUz/MoZg5GD1QLqY4FRaFOvleEbocjIFEHAoMTT29mSzD1dJ
I7qk0w0izBE01wgptvXu425Wz+yO7kUMJfhSoQPdL4DF345BKu7LpT1jc3ky2qPPA1khFy3zt24l
ezFUbUx8FeUYm7vSCIb94OrNl1zF2X5ehP0dEzHrE7cFBb5IdRnI0M65x/DkD9kQv2Kxl7/J0ZaX
Q2ltinQhrHeb/toQqYkBiGzP1MtPLF2E4xwOZA5I8h8HBE7T2Unm1ATZMKBgqCXWsvr8NcaZt3ti
HCJXYmgy+8QGx9XfpjLMplIdjpepqm4wURn2kjrPmSDuxNKl0osR7Kpxoz52dBYJXbTSsVIjsn1N
smm687cKG4q9RKRDJTBx0tBE9LB//YMJWJhHhzrL1SYpR5/Q6o56uHBzM21FkpZGNLap+dAXXroL
TGPaFKYwN1BM5dWyNqbpcYrjX9Fgz/j6+Cd2crQy5B5Rtq+6oaOnlqlMizRJjCgwev2+WrkJWJrM
j96o/fwHI5EaI3CkFsSCOXxSUJ1LAn4aXRAu6Net3WNPWLTao251586MEwsGuQwI0LWiCyzvaKhs
zGndznzcANCYhZPnjhuzTuMze926lx2/Ou5vqCzQCaD+PHp1vgR8LWkFjpIWJxwM91T6QVeyXPZ6
PxTJbSJEIc6chidEOkRLLwZd19OLiMktVOp2QWbSvF/0XNbT1NwPttltlwzHnQ08N7HHMrjaAnnH
tmrxaQALYtd+b2batR932zrzYZTbifr2+us9OefkfZkNWsp1+yg67a0epRdp14j7d3s9V3MZceHu
/nzLWWmsq6iPyJqr1uHjg5z2KHVgfltOq6awKJNthnDkzCz/pbM5fLcE9WtnIHUPum6ONS+614+B
ppKeGBF/uwtvXtqPC6xv21g+WbPYFKUvi70z+FThxNSmT7XX1EWkjDRAZtzH4g73SmMAYhNb2oVc
jM556jMYG2/Z6cTt1C/JyJ10wJtuaBNfv2qrFYI++5PvXiaWmTe7TEovidwkyZpdXbTB53hqMolh
XVxj7KvNznURY5p3sSz9TNoA5+jkBiLljLYx4JwPRzHjnFBJbS5gkCHZArWZ0DeTyQmFip5zYY8M
M1GIaLCZxDHeV8HWGMtsCfGkLf1tMMfJzew0y/NYLzl5O7Ew/uTj4Rb6gz0mOHvKuAPEPTfdBnNw
tBJNWmgxP6XGOcLkXZHo7YsxgakYwwZvg6L+JOXSm3T/WZnYKeBPGLI0ueNt5YCaJ1Smavx9acxF
Ss2nXttc0tFy98OYe/vc04Lyype9mi8KFJ0t0kYKYtfKUmUSIRBKwJ3bjfsYT/TPRDb+M1pY+0E2
bmpy7eBHFOTuZ6zkJue58NXyYDrjLMm+TyC6udRhHZr2GTkpQk4Pe/vMzD6YpDPoNrKG9rZuteaj
4yhcZk1P4plMXwG2e1lTb8oxtR4FyRHMR2BPa1faQCwWBqpfLho7dgwc7+ZgDim243XiJFY+XJcm
hhVhNij1TjkZ1r2GX5AQTzrK1ntQ7UW+qeLYu8ldj+5bO17Maa+ATX8wkwrLSxxKrLsswTA3DFLO
kUtSS7m18TpT4cs3pWV709KzZO4q+gaqKLb69jqwAHqxa5RLGgW9h2u/EQ9eezH4etO/NT2hvY+b
YfiIW2EP5Z4+zf7aB9/4dWbFfnF9Mb6VhsCbp1oqitz6aIbconR3Vwz5+KTbFXYluS3HK6/2aSFB
xGN0K2q8g7U7g9fIWOKJf6d3KtAuxixIpk+973dOmM+mBQ296waN/y8rnFAH3fo5CRtwtqZb+X7Q
pPYTwPZoh/Tu5CvXhgbbrS7K+R0bcRlsF7FUH5xK0B6JNZ4aN6Qc08953viXVpZVP2ols/vRmIb8
bYxTyIcia/MOTQ9E5HBM01SPfNuKJSumQgpcBZ3VwnFQpbrEjlfJsHTm7IMYcEhBjzHG9f1kLqBT
/Z4a02YJMvnd8dIa2+FSiCaMvWb43GXp2Fy0GHquLMvE+ZBqJcZSYMpikMBtb70tUpwcKaVO6S5F
sKNtuzKAPUIvPR/lIKqq39pF0OhbT2IMszG1JXhbJNh9h1rML5LR+5SEtL5CI9CC2fguuUbdicAa
viZS17SNOTrA7R1ooh8y2gWS0MecGVsmIPZFNKF0kVvEWIZ/GfzCd2aBT7AoAs21Nkot2b3Jt5xs
2gThy2bA5trY+PEktBDKvbgM7Az0ctYIi4KX7Buy4i6m1yHew8DZzSQv1UOv4UiDY2TWAxnBrqiJ
Rt8Z8lsX90xnky0ycENfS2XP7z9gc9YqK5UR1yLx0Rx1FYT9UNX5fg4kX6epp3ijmpjfgs0a3V6G
LZ3NHDWCTYEae9yhHAss8TBNvvOo4Stj7tpykRWldHc0wgXfuTGqekBwYYzIFw+hVeJMT7KhPWCt
W2Cs6cInWott7nJVDUoYUHBBBCAq7h3lYV2tTVpsqK/o8MSkPej467hL2GFoqpXP9VT4K8YbgweK
d/9btDTy+ciwokFl4o7sWvCIw1j+5JhSI2HXBmrrZpgM5G2Zh9gzAczyNAhNrWc+zxjA8cf4cDx7
scC2Ny5r7RyH+TfFKQ3+uGGgNcX9gN7p46xignpyEFNgR/j3PjJdOFwa8YztjV5G9RAT9ApwtVZc
fOdUKja412FOiuIXQgObTdOr519xxB81Ad9m32St6p/dcYvvQVfwW3zkHzv540d3+6U5/pv/BZuB
f+WF/30z8APdx/Jl9++vv/9396/5hqoTTEhaQgmg6dD8j+5f/c3a844C31wLRfyNl92/qxQeHTHy
GiKZVb/6r+5f+w2RDa2QWERYQLkQHP6/dP9y0WdkLt5oUxnnKPTz7Aq3vSZWZP4b+9bwqvwq082H
P4wvSXvTv0WJFBXGKu86jPz6ei40EGuAFkoNA2CJ/qNt53OAl99iekZxISMzmQzBfexwlNxXWs3d
nqbQNtavJzd7Sh2Z7LJBK3e1TlfS6w+1XhEOwsx1OESSTB3XaPqQDodTdoaDVTfLCNZxG8E/CTaT
jj2llgI2zo05u8IH1Q/j3jr33f927/w1MrVMEskO1Ymjy0vdxfrc4PkexeVQ3uRtElx2BZ6eZgcH
ahkwUNUc6wKy1nyZO+qPC4KMTkM6mSI0vjZeCofPjfdGEVdYjUVBS1fQOA5VNDS62qR+l5zR9v52
wYX1yKpBc7DC51hDh0NlkC7KATwFt7S53tR60uzYdTGl6Ob5zIXwLwHN4fsku8Z9Y2X9IZk6FthU
tYiVynwRlc1kj5u27qurDMPTxww3PbHVYiE/+3qCWXPWWgYgKrzxL0unrz6XbWztBycd8zAvc+e2
nYf4PRBHcoLEYtlPv/StcBLC+0jrbB3ZzaTvYtPf5CZNXHg+6jnGhHEFCb5R6uO8lMkHe4iHzySb
s6fYxQEHUPzSG5s47lZKd6mQNykMJ51tSpWs3vmJXPAAs/Wb1HdgVrlL3N3Q7ueKkKu6TZCca8t7
mgONb/Eie3s7BFmJqWZuTpjQp2bwc6oz3CHdVs151LYqAVgr3Pjaw2t30wyBfxvkVvIl7mXwnstK
/NOrcdHf9GUjvo990xqXY44bW9QR/T1nRKhl5BuCwxSnvGcaU/yn2Znt51TWwMtE7E7oHz1zcTk2
be1T7hvzN3MejCyqnDE3Lmq043eZO+LSXuUe2uO5S0s8UF2NW53jD7hzidiZutCayD8I5N5d5HSu
N4S2u6g+1Ac9+6IoPOlR7KY6JaXR1a77wMciWTTd/K2BUvFD57S+HYq87fe6bNOPdF9kT/qYKY+Q
wnGfls4aeyxfvfK7n2FDyA8P9FvESO2dmc/LtvN0XPPxVBWbBeu3twDx9KuqMW3cjzUNbIaUPsA2
qoJQ3EZ30VwstjtIH1yoSnq6DGzPBzlHvcM1s61K986wlJoIXvPge1ARfmW6njV73UzBtNSlbG+1
dEnJPJZAPLh5Lfn7uG/cfMszxcF2zAUe+CoX2Re6gLidVshzrrEplvHOAO+hb2bRTG8JwHBxHAy7
2upZYuKi49o1HeytF2n13BcX3Tgt3+cqF0M4zfAUNr2BXW5IEDb9HHxZr/4M8xdVyeGDpkuqMgJr
MzNkZ8YncjIa96OPifIcgkwd+k3uDeYHr8lLInqjrHZZ3bmXQyP9fZJmw9fe76x3Um9UlOHP+5Pu
tzxKRkMRb6ZCfzB7Q4kzhZ1fPV6HX3pAUyGHMfVYGqaPqcVNv9RWZ8/0CrX0DhKlIs3dj8GzSMww
6Kctcn68BZmO3g178di030YLyES1aYM7J7iZqrdj3uKKQ0PJUzdvS1PbTarc/08s1c2rsQoXpBcn
7Wrc8rfryuoM83/+11Utv38RB8HU+g/+JtYHbwiKSFzTf859BQX8v4Ipy35DmY5GUSIZYmGCp/8I
pizrjbW6q6BXRpRDhwr/6F/BVPCG/0DemII1f2HtyfmDYIqq5GFQgI6JfX0dH9d0+iqPg4JhQtut
zL7bBOlgXDhm1d/kS23mW5tWdu+Czj8sGzEmzy9tRZJ/p3lVVDoahm9K2t11QsLqUhnW+xHTw8sx
86cHs+0+9XUWWY023okhm5+1yrOeTE2y79RYw+4bK5923aIvN5O5AjBV093TCdTewodx1ZU1GkGy
LSfFb2FqbiV3QWNV1pWHibi58wsgFHaIpDwrN64uEQrrbt/1G6gKGUQGH97Bj9KBSfAl9pWNGsRS
dpCFAUa1GniBdE6283pjgq6QVy4OxLWdcKqgJwaJkelcpq3R9q5H1PbtdeOl/nZp5lxnYzdapA4O
WntdVlUc1QlWx6Ucx0sfs3lupmsPo9Et4jbj51abdLLwwRIFWYlp03Tc3CBW1Mgx9Um25l70kwuv
R5ONkGGu+/VDEs/ZpeomO7nCn9bgGFgwzBz9qPWy5FJaTfBkYZOsj/AQaUARGwsfrWunqAauUVr1
CfTu5N2UbSPu6KH3oyJR8AEmBfSSBpnxGQaWkd/aQT71d2XQ8HORfHF2OCJwvlh9InmGbGrLJ92d
RXXFAdBbMWyQPKmSXapknAcwhgQMEDVx3FNYLvw8iKQ5xc+GTFLnssn9WOUb6o+udhUUgVqaUJ+C
Mt4N9PV+S9xCR41ak4G71ge/qjYmi6jb5NLFpron9+OH3DI4fSYGBWPuJ3m9c1TeY4/ScR6UpbtU
X+gmMYCEk0waQgdfVOuHKFMUTWlTYbMyrl5rY+ZUmEcXtGeETYaB6gb03LfOzDm+JnpanY2Ibf0T
3qpZQmEX3+jH1ccw2bueHb/v/CH5AqgCjtmqA1lCJyuwBqjztHjsk9HpSHHMpc3Ne01qUX3o600K
8olnw8bqGpAP0mDcgry3jt2UVbT67b1FjgR31tYc/JuNoVVtpKVVdhmPvv2TykLlUvGBvhTPHlkd
mAUk2G1YCByWmu3daFpjOgRyXnABgnLJwxQYw7tqAU8FhMpmskDLBLeF7lPfI5wRl4W0MnIYCxmy
ECv5+Uk6MsUXeSz6r37WdBxb0va+p57qg7D0Jv2jXLr52WpqM9402HuLTYo9oU0J1TLijd3WVXFj
kpGqb/s5xR/dqWvSZR3tbOI6kYXqwlar2x/UkVqIPHaVAzxr9UyLrAq1BeG9Y9zaAzng3PfLa0Oj
frzTmt7OsanGHjaainnQb8hPozqJpWjXCYFttVtSCY7BtinlhgqvdD/CFk2rIuU3e6Mwq/eadBZA
SN7AaluKoHrSKVpEbu/bd64uMNgfXABIGQpjC4yDq6dbN03hDiDL772HpfGmcjd5VvPek4n60Qck
tHbOok0fM1kV7/x6IaUlJ8u4wGYIRElaY3QQ+fwgb9d63vTWkTlYB0htBpos+pu2Zu/iYr53YkQi
uyWeVLGzzBtzQgvm9HUoq871dzMHNIGfh631/xzEfx/Eq5T43yc1rvvxS9YdHMTrP/jrILb9NzTu
rS3n/pqDWPXBf1ma2e4bFLYYba0s0JXlQzn/b0szS39DQQaRvc7x8/fh/a9z2H+zNkdxacemBBYP
B+sfnMN/dX2+DPFcjnJUSauaf/UbO86MzYXX25U0m8gYFTF4gpaZFCgN+rBnoclP5W1CctL/ECeb
ZOqFupL1SgqJHTGNG9m74wSbRG9b6B0Sp05WaFZtRFLAbgMhFtNDnKXxlUm8DHRwiNvV6RlcSFhl
aTNtnD6lDCxzI4lv+8IlPWAqocQFiKfpm0zy2dposQ5JDI6KYUUl1lZXtZ6iRvYH33ggh5K88zO/
wcsZeXexCewG3JHfI8OmCFFCWmga8t6aXhcFLUpDY4UGIIzLzs0msruN1G+1GLfOi3jGpQuvsWqG
Ee35adSgftAvRiiR6SbOFc05IB18BDpkX7dFOWdv9aW7KylDXMksy75bca3T4aBr3Xifc55+SibN
Sba2pFvjQkPyM4WOnd2TB4/fY+Kjiw1ko/i96GLb2QxtZc/v+GDde1grmvUYuyCavgfkIZ1tmYjS
u0rFSEYImtGY7EpXumo7L8DRuO5n5DG92Cbnnc6yoSQ3UzqjaGeanA010IB+SOFxAS6r2ZCM4EIs
uGfsiz610geREscDWLI6CjhZF993srX67WhV3RX0Dl+AY6vximlbYX91kzlbq4Od+VNA1WTzDnLY
XCZ2xhUTHGVkeR9jwyhvlMwHNwRhPPNfBzkuYeNbuNwvU/MthYcWQrXy7I8gs1AdxPLXltvcOdb8
xXaFFy2VtPPQoj1s4wDkK2X5wStKDiaiKy4iCXfjRO9hive5OeK3YhMrYviQoe2e3lJacFH6E/YM
HCEIDzaBh5d+OBUqC/Z5Pckz5dpfRf3Db8h1sJIgMbhGx+Zx1s5GKsoSoeWnSbJsh1LL3ZtgGtuQ
OJyuKpLlwxhmhHtha9kDDAqlB9wFhXvhjFZzLfLae2g8AAKL36S3sTDE87zOnAnJ5Ez25pfL72+/
K4kQWoiwysGc7jBTZHdzrBdU1aNEb6mc5jlJ7/s4U77Pm86LKYShM6K7nfRSXjSm+jwtiz5dWw3Q
ka3VqgFcZynWmp+9UCdFqfvTpWXgZzA5JMq1QFxoQWE/mim2WmFeSWIiaKj1Nf3mLkAc8dPN/VuL
oukdGNJpJ9IKA3yoJEWUmH4AQ9LJH5pm6T5XQ+C2oTmIuQrr2LA8OBBG/B7WhPZjTuL6obX9EoBX
UOO401oNyQygnP4GzFXCLxbHyb6vCphUFKOQYb/Y3+//mq+XLonHZsqr3Q0pVHSj7uo+Q0b4cBpz
Y/KGMTXpIC0y513NFf9j37rPRZqZsMLL7tLRk2JDmmHeti7EFMpO3pdS79W9Rxr50h2y7jk2YOUV
5TBf+6mW7ry2K3azdtZY9eim9cuZh/5dLI6RLaDhOMoNBoNIwZ4J/JGk2X9IeRskQJplR4+3uQ8E
yEOsUqgD8ymdMwU/9WWgCTco/nikJzFaPpymIJBUskCsRMnkuJf4q/sX8H6CqAME+uRrA7LKyux2
A7DA3byobtvXQCaWoN5V9bJs9SL4EVeJdmPPJkkYMtpXU2EXZywwfutnpeTAUcvkkOLAHeZY6Onn
YoLKg/VM6eecJLJUUY9N22PT9xwb+Pqs7DzoTOEy48tZAmTYxoMFis8rPgbJikPKXPsjtSeKzq2p
3clYU1sITKikob5dTF7Z7xNhGg9GGqdJ+OdR13+7IpFFYuHfx1M3P75+EYces8b6L/7ObLhvfunW
/oqiLOdXqEQBmEWGdcdal/lXFGW/WTdkqhwG/wC5JjHZ31EUiQ5y8zaFHGRh+uoQ8UdR1K9U/otd
lVTGGj4RPVFepG894Jd9KViS3eDXSVUYG4opNA7nKKO+l5Sn0w22AMWtrk1J6JEt+1R5sCs1b5aA
Saj1fPbod/e3ZZ7U33tkBONmaMryOevG+CsqYM+OJAmce/QRBRIcWL1LVIlKfE4KvQtNPP5qYK9a
cYPlXCF2iawWnDwUGOoQCvLE9V5CPOZn5uRRE9fAR08P4vEnhqvOM0TJHD6IKJ5iMaydl4vmPdYo
D2DJoC+5oSg/PlVzl91pQz+DoRqy5KaXRueCOCvBZFsu6CRDm3QZDs4sP3Zc1+JNF5BvieA7JXep
WjxIB65yn/sBPVVEOVhM+6Xpm+baGCYo3vYEFynty7oIfYcULUjMsfiEGug7ZIuCFPtcb1cndbml
T4x72FDpIH7tNmB3NZNR/8xl2br13Kn+gKrxrnSEk241G9r3poiLeeeDFtuKtu+SnZnWmMf4XQvZ
qzQ56daW8JXGOQ/uRk26ftWUAyhEy6zSz05JASMUbM4B4SSdB6FQraWFVurjumEkIkfI0mktftFa
W+OMSVFvkxrl+Djkfn6nlKO/tXQt13g4YEFchGme29gdZtBROoMD2ntqdN5lSsyffT+uAtBZpj2F
cbqg1mgDMW6rsiaVTkNEck9LkotQxfDifIU1jzqZGSv9NKFGm6ExkSCDlYrYeUPrDryc2oMzCSTP
/FbWsBt1As12NwdG8bOiTv+dskPeXi1SlcamEJr7g/lqq0i2vR6HQZuSGIFvfknIivV3E/TVVzkr
vLBdPee6a08BCp8mT4JqJzM7zampBwXmoHkhHzKFPBg+bmY5BBhkfXVraX/WVk3SyAaao20Kp1BP
drNUj6VXggnWcrMyMBpq2itJ+ePjNI+OvU9Ur8uLP98o/z+tua/Z1Ve20+zr/OXgdrr+/b82U5Pt
k0YktJY0HwTsiFxC/9pYgzf8R6QSq78ef0SZ+D83VusNdXpurRRzubauIuK/91UjeIO6I/Apt9KY
uP7pn+yr7M8vC8c0s6w2Reh2IbS4lDap+r/cVdWMR0QqFwixQ0Uw3amp3/pCy+49I5GPnnSn+xfz
ciKsW0Ohg218DYiRYHOOkPzmln04oKOEU7hDaofJVOaRpOQWKVP7iu4m3r0+EpySw7Gw79VRFHC/
t3g41LtHVXGd6DX3O+TxZHnNxNiWEPdS/bEJLM2CM2a1A83UKToEQG0J1qs5Yja/0om+jV0l3WUo
szBL8VOi2rlCqWbsCH32iFF9J/E8IZLVluTChRdGapbv687TUGPF2kinmaodEoodfmO70p8stsWe
rv6bYMrK9jItg7FkL2v6YFtrlVF/mwwpph0aeG/NUyIEgrSgT3V7ITJFW7vIDYUxYlHEmD7a/txv
VOVX9l3s9ZW6r103M7edho7wNoch/61vMnUtM9JfX6p8qu1bf0m8+4Ry7G0ze9m3ciqh0QnH4Ork
kC6nmyP2ggXIUZEnChXdEsCUeVvmenxbL1NhBWHmFdAZ2biYS5xiUbjDvTfm2r9xKk+SQ1AWBmeE
2246hsvktkwMy/tbkgxG+UloaWdt5KhVeXs9zRjQ/V/2zmu3byR907eyN8AGUzGckr+gLNkKtnRC
2JZNsshiKuar34fu/s+2pB5rPEe7wA4aAwPdVolkha/e7w272fQcu47DZFEW1Xk7NwsBqHWgzcgt
rNXj/ml7WiwwTBN3dfYriarufER8Xkjw/ZxgO86uoamnz20mp/ZSwJSt7oKppjkYVTWdzjCSLe3X
B3/iYrrEje3QGov9PKEHA+dUTGt/wCKtNghLZCPu4M0mhpNtsUEQtZx9Yepudc+kMrLGv+771lP0
QQ3V+uWuQfAzpLFJEAVsUwW/Ae5qnQl/vfH71qq4lPcSSPF6HfzB/JjoqlWfUhnKFVihwd1l16zG
pL+UFcBqyMoLluUDD4DdFuZ0ehCcrsrVQJmiyepyiFszoyiK6Kos7UffGbS6UbnhXie9MDQE2Bzu
w8yF8RMUOyZRO+pFHZqOcDc4cKZX7ehYhPAj0Y6NOy8vIZiuvSfVyQhdIwCV9xNS633VfVtlo+ko
N4Mcj6vZOOnD0CmsViN+mgkuv4z9kBLqTsc2Hm0cCaB4jGG9w+6syqIWk6ZiN9Sh3xKNOPVIGI00
CI9JKPITh4xgtTPbdIQZpwLn2i/GrVtDEB1Zrl4+OM+TJabmbNJK1FeWB1vhohxpXJzny5g5Y0Re
JcQxk3yz+VZig6NPkhZrziuotw6Zz6wK+8ozcI1NozmbPLF3A5HYO4CvwjyRSwMhJU99r/lu1iVx
zqKG9HyuPT+dYkxWu696GLCQJ+0VI5W+calYjHxMGjibNq5CZ5zgZT/sNZh4Z0VBEtKwOCRzTy/r
UAtuYHFPrPN43FykU4wOs8Y6am1SgRHZUs0UN0tzYi/aIxseaQ1s2hxbnAjarRiioTGwuTVFC6is
xgFLj06K6oQ2omcewNlnRcNjCs29Y/RkCMLmDPVJM6jprrBSO71MWMjBkX73YN2ms8v03RtEp8sH
Og6zd4I+Ah4rLiKVaOUj3EujNOImtMb+EkIudQ/qbiM/4S4mjN3g2vQqTC83ST6TGfY1lZRmdmqQ
sdUeuynJnisHhkOcrULholgWbR7bYZZeLWlXOru5NlfYKuWYHYRHuzBqg6o9L9YZmsm0TmLcj2pA
vw8YKdSusPJhvmVWTvjYZyJz7yfDngE+rb5Mc3J9cYoeq0finRpVHLsGzuD6uGzpcB+TzFppG+Dd
uNRPWTUutv1IQiu1UxVNpNc6OkVEnVfdBquZdu3t634Nhuk5bSsKzgCi95aZ+HVsBTUVJivLaLjT
80x6tmrv/3999Cd8z5n+t9P5TR/99svwnP/MJ8lflEk//9qfZZIQf3C7RN+K6B+J7U/b2L/un5AM
EaEh7f0/ffb/uX/af2A0A1pMIWQTzrBZb/9PnUTQCSQqOvRUAGg+f69M2h7nRd2CqQXyKqy/8P0i
M+91MN+2p+K27BpR2VoEf5Ojrb7nbkgHt+p8cTYLCEN2B5AHs9pGOWg5/fJACIOyTkdYOpuHuyp/
dMpablPmpnOw3V6eAKLLo52tGjawmSWcslOS0m1OCbF3UzARubQYX8sufRYYTZ9CK7yv1kDEXWBW
5xZXRzN2oJp/yiWUGbvKjecEguBHn8iJwyQI9ONFPzpTIuNVkREbMvHLE6Rijj5tuiL9Mtul97ik
RRdluV9+hPxUySjpi+K0SAki45Nc8HuTMw2LhXZFR6fyBzsRfc6yG3FmGir3RiRkmjsEl8VNgjES
8BjtQdJj/TwGsh+P2h0HJxrDDBdn3RPxm819Qa3Qr0qeNq1a3fNE06Q7K4rSzMHYO3lLnI89Hh2S
qZudr8kBvcywCD7WjrYvJcG3a5RXvviMd2w+39ti6KrTNZHluZ9r/T3JvPLoZqVJSl6QcUcv7ba8
n7M6h2ZjhQgsyApo0+mkgp1dfCtapEBjpMZiKNUDe8JCaH3Cwe61xyBY3eRuXAMkLzvRwC7L9u6I
1dz4Y8pmgGrOHDNosKqIhcJty/huhbUx3NitgPAQ8sFSO9zDXhjqztgpWFiNeTkraPQKzxyZp1e5
wdU8i5neWxANEK0HIubGuG6H1iXtVDDudRy6HAGMS4fIrszheYKNxi/MDLqE46e706kdQi8ehaQe
C1ZtF5HvjWOyN6zZ+5SIIDUi7QUtnmTrnGqIkkH4hYOOKGLK1PDc70ZBsnbZuyvu5h0c+ENCXJx5
GDFihoXe2hCvBscuL3u3dMePnqtGppbiPvEoBAAsYcxqIXm1G8NPYVgEdwHkwiuvkdlwMKmgPwAf
BONHqH+VOJ2IoNIPkxF4D8kaymf474573dZj8zTj6ZEf6XzPUUWljF6Aq/AUz7USNwHsMnjjjaFo
ALeqyO715BfLcYS2RUC1X03fvE4UaVzQzVp2dekH33SbpUvkN2gJzhN7XqeYhhRUt61mCs/KqViB
VAQsyczS6flqT82mfsCrOvJnNDv7DtkWroxVOl0HGXDKydhQpq6bLvrgADF9aNRg3wux2MiR83Z5
rHDDXFARwLeMNdKXwzhhcLdFAFtnwJULENAcDPT2RueuzZcE+z58De9ltsKIaeslO+2oX9E2Gk2a
IO+Z2nm/pu20fjERSU37zlkJCcxQYDVnmSTW90TT5pvjvtyYm1XaN9ewZEzKaxQl6x24dGZH9cJc
pFpvLfda1fmABcOCwTCKp9KLDQCYdGdPXXM3AJL1pw3t75W+o8qWXQY9RcEF8cZDbtk0M4BRQrXv
yaTGys7ysi/UMO5JjTs9gjRrdA+qMopHeMZy0VFFJIyOJ8vmoyTcms7TxmX5Sz93v69e49w09myf
hXRoUgLBWvnDD2ZzOExlXSKECG2uOf6amfmO/kJen5FBR/5GaqL/nhFQnCiT6h8Ti7QitWKxP68r
DbiIw73+hN26eJytoTcj5OJ5urOqZWqjRiRYa00+VSeVVA6tgb+dZntn9pwsrnKX7gCC0hSiYpPs
1jRtKd+98JPBxtpEU8gaOmQ9sd2o9EJSPlurT2JFy7WMFDYJMmplu5LuOLsIbg6t6nOIDjnh0zEX
i9Q59Hhz7WRSt/VZ1TnVZ7cV3ierFGkTHh1dp/6p3Ya1Rqj0s9+mKbaqPhqrhOl0dIYpSbwd9w+R
HHC3yFYatwQOw3zaeDEWxBVv7SbChc3Ru2hqT8LUSqGNWSqCLjQ9KcjZ+9xuHS+PB9vUCDZ2REE1
EvYJlwYjaW78ycbpYYxaodpRFNHU8o41i2bicngFraasLFC9ymS2tJ2t6yYyEFYZUcHLDva5A0OV
a8hPvlX1k3vVOqLtCrjfRgt5iGPSukAhPdvmPh8sfu4+S/E/qQ+Lq6uIbYiAdZsb5SIRZaZqPgZu
uaoEWtaQ+OMuTemQD/sh853pXIksabsodwpvLm4Md01omDZuqNq91JbxTWSOGqKOtKD2Ao3JFpNe
WU+CC2Jxu/hYOe0EkqtwhyFqdZu3oV+TtTuA+k5KLB5SadV3HySo83CROC7qTUla+3IiZq1/gILq
O2MmkHvf0whM+QUb9T1TWZkeEsvTiNXWsiWCyZntp6bMsvXOmCZVxV2pVoEEslmqnYI77V/bhZM3
5ykALFyu2YQnlDZZSIs9h4bNJyhB3ePA0Db2nppfXkasSe3tQABG8XlUooGqswBX9Nc9xOwyGvCR
KYEP1aQPPjTX3ImRuCFMTCXbs2NnkF6ddfHURcYV9nTJ2VguJrU1e2GkjwLdcZWX7pX02tm+Wc1K
kX5Ez684tDOGAB/knEIUsPPRfkq143M3stYmjJ0ukPpqAqk8wWszuO55ovAhDYY6YJNxRwh19Jfd
s9IcObEK4sHHLNocEKrrvrDQSgaTKa7Nyi+wKR561Udyq9C+aYvslDgAKn8sWyMlbHOY0ysxGsut
aJLk4Gcu22i35Bm5gq4tFXmYlj3YTxZX3WbbhNz6qfaH/HNp9VxZm6rAx2mR87pZCKdt/iFssurW
WgCrHww5+4sZG0QW2WfsJKG7L1sPIWGcWmH3w615qAd0fRXAjVRYAWrQbpFEzH6dnHclUsYjovFy
PRAfD1uiTzSihDhnReDdWrZu65ylrim/AYR7zR4y2rrSPq30cjOqOUufhn4tn6S3tXpX6fGLSlVv
37SsBJZTlMD56eKMWtyllSEaFSkhenWgVkxIpp+H+dAQ05lcDGi1148WuI91ly8Q2PZry5UcrmTY
2k+VndEmVYuobvpm9p9k6ZrtHi6T7RyHPmeqVFgl4M46QfaINqZCwWtbJ3ohjqXy8WmQOBqxO+hS
YDQWDuNJBpvUiccCHnuE/+4SRKV0ys8Jc9u8VJnqxNEJkzU77YNmEVHAnVCjDfAlwSnl2POITrtx
nIUOu3HvpAJbm9xY3AN1WHZpzZP9qSpneW3DhrwLoIkssaBlLfZ9OzlLrL2Rqry3OJLNmvpY40XJ
zw9+CgFL14EiXYTdJzPsmybGRnMYSB4QvrEvV6CB6wIPiuLasoAKoqGowpM1Xwx9toSkZCqECfmB
GPfhLNFm8CVpdDXGhmiDpxZRCCpAJo13a4xaFTszIY4GN91lgAVLwe/1DWH2g4GIQQ6u/lGbYr5v
IDkex4TArxOsOpuPmHJPywHXXqZo7gNReTzCaWqP5X5McvNDgtL5GqcK/exn+WRCgckHO95qydhY
DVMw6x0X9KlymS8GCtQmClL4yYCQZEtEOpxMe09/GhAwGtck9Q4gc+75imAD50F4d9mzKlQrDpAp
Ex3ZLmBE7CtFvlo7Ot7n2ijked2PeBulUFT7uFhrMnamwpy/iK7FZ9TxW7QAPfVjFoFUeuQ6WEnn
X9AryS7RAZKFjWiWVhA0YLOMq3rwb6jawy84Y9QHiXQJKboDRyJa8B3iNiHRkuyoese7bJ384YQs
xuXGGzeG0pK68gQiw8Dkz/DH3Pt9N38F8QnrUwVVDyahYTjtIawtf0NTpqE+6+fBUvsJym+NTygb
+58d4n+bF7c1H/+Oam9dfxIlYHpBWeI6yjX07zB63XHqt1VTxfNcFtBRVpHeyipBv1NmZZQpj5Da
kcr1xsn7+mTlYJ/e+Q02oP7Vb4Dj8Iat02zYPLdf/gYclu1a5GyUjTKTK20o95DoRf/426395s+f
93dSxoaYvxhlm0kWpnzQ7AQi5g1x/5trROFaMzneq4qJ5mRPKCihfsxi6xpyGeLb9EjUZuR7mFn+
KUH4t2/Y2l7hi6E3YgXcqZ8sB/ONJGott2sRAHIsZqRJOx/nwQbPsjyEfDnVRhQaeI5HCWj1tFV1
bChW68EgyPAbvKNplzXvEFTevnHX36CAAJOXwPde03x6adRJ6eY17AXHPVge1/kqWdIPv37j/zSK
sxnqbl6UWH+9IhPh7lWPBAPC0grM9ZSLkkuJk1Tv8KteoxvkxOCBYWGpYkO7gan48ruKOeAaKelj
mx73eDZw2w64xbTLPUn36XuW7W+fCRdJRvRxihEeP+rlaA6IrNcnU0VBFjJ1FuHOexPluX5nTbzq
/9j0ffAPcVElCppczmttIkrAgeOOVZnQfpeH2hDUq1jhwGNymmpfOH3+nu5z+9VfzlKIhTAUaG/R
TuP++/LRMHkJOVphvyNZ0D+63HNuRJaN52Y2eHfmOqlvHDdzbEIdeM+Y68035FEhZ/g8rIA2Zb1a
m7VnNiGpsuAKBeFg9NeEAXSk1YDyLZX2eyZV28R78aTILT10KghOaa3Zryem3eSNyq2A2mZ0OHb6
cOZgkOWy3ItRUWYxvv8hEZl4CNogqY6i85OrvCnyz79eIG8+Mr8H265Fg5VcH3vTLf99S8KlUtoO
KVqx7IOtJqlWrhBWRy0VkwPvOZEovXdn1j/sgzjDQiklDBk16OuZRQdJrUUwsRn1Qjyomm6pFecy
BMouK3NMj2EarDJD/R6m6h0XqzffecumovuL8oj65s2+A7lruxNnKi5HPzk3xYq0MzcC/SPNXK4w
v367rwaDWOq48KDxYEOi68GwePl2UZ51COwaYHFjek641cdhPTyXtvee1dKrz0gOOvZ/LB0EWR7P
Fb4aaNEeKUmulcUlF+HzAfPBgpaB91hqKCodhkPvLZdXm9A2IKckOytIM6/y9YBNKHvIhXWOo4sP
ECvpRZTvb99vHsvDDIvjcsOh6eO/2ViDvMya0EAuUahm34XS2hHCmmF9MNnyxDPn3zyh+WAMuA23
0bFwkX21t3oKejn9KujcqWM/ldyMP83sdUA1AsYdAFSG5PM9y7N/mCUk2EFz5x92dvfVIZUtudXY
nUzjhWURlWW6IOdBuCjt4ncV35v+2tsCwh0GDHGRfTkhJ3NazJxLAPTTRuJFw4wsKU934fanX8/9
n6Tiv21x2+THjoDDHTUymr3XpOMy8YTUjpchmeGJrEZWAQDo1I+XkuQjeZasfvrBqXVytSquWhEi
WixOglmtCV5apVdeNtZcTvtf/1pvX/bGRUIdaBHBQMfk1cuu+jGgQZwDGa9c6xJcZCIVDHIfbn/6
/aFo4vGeeXjUEK9edr6W2VxlaRZb7XiPldU9Pbt7kz///jAUr5xdZElszcyX31Tm0m2qDAi9J6OI
q2dZ7l2JmQq2p+V/8fLgEW5aEGYqk+jlUPmAWnMs4LfRYF4wUl2TKxIoSFXZ/vTrp3p1RjB7sBik
JcVGjdMeZ8XLoQBYyqJDPRFT68gT0GeWHRmq66kqWPr0O9JLYVTjt1+P+uom8nNUqPKE0dKo2nxA
X44K19BIJD3PmI0nrGPcmMarSQzDdah75mmWTZ9w38IsIKC90weteqde/YfZ6TM/iUsI0LhSsb4c
n8vyFCCv2M7/sbFvfLO0n+pyqw2Uh6nTO0v07WgbCQqnBCihUKte33qUKpsBooERtd2CFtUACPf6
+/9gL3g7EK0/n8rKpZMIMf3Vx7TkFKRjtgB0rvPPlUAj7b9aCRBlobtvRTFGta/fHtExc77xOuMW
9hEpcu7y0M7DSBuLP/16ovzDE21e8rw9HudtCYNDFka4VsOr0/JsW9vKzM/+m7XNRMDLhXqUk4kC
7eV8KIXgjtjSNw3crD4Hb31WEBDOZdY///p53pznHvxk6kBqb25L3IZeDiQyI+9kD9whXUueuIIA
nvef5h8GQUsG3Z5aGwbe60F6Xy15jRA2KgkTvHXxEf3BinIPv/0oeGluXGuseLj8vVrDaqoxpNFz
EhWjk37gfKnOWyg3v71S/e19YVS6SeBoWb18YdS3OdzSPongRJB07/Js4xHJJuVziI4n/e2lyhgI
4fD3oY7EK+rlcMmiKyJpgErtelruS3wdTtsFqKL0/Pdi1N9ObSofXBepgoDs3ixWp10XZADsCmg8
E1x0w7w+Nwuuz3WbB370mx8LEADxBnJPZ8teen3jK5QMIZyFRiSJdjwYICR7M2Py/eYoFHMu5Ag2
BuYD+QAv356xFng8Mgx8RKabBnHdNZg87n89ypsXxyi8NNC/7TjmzHo5ytBI4nG7IolSrs7TyYAJ
68hdWfkfuQi479n+vqmNGQ1SB5vQz3nxumqcB0cHXtom9DOK/MFx0FtD/W8/LtZI/1166TsilDeL
l/FwV4VfwklBXfdqhzClDFpa7CHBCkDKhocMaA4DefLrd/gPozAO9g3MBpxFX9dMCTeOWrZ1EmWl
kSznppq5DmJ110Lz+t2RCMYCf6I+A73BX/zl11r6tUNQOLGiVIvJIr1UyHYyUGH3zkA/w1JfFMJM
ia0yQ74K24b/fzmSTqcJBidrt9z27jEs5ss8SeyvCnbCRaMd3N2mqamvm5Dmp0GsSrmz0kXC9+iQ
zm9meRJvPk2tGlVQ9s/NBS8K+A5wPa1eoSn0l+Fq6EfxJOotEBdfSX3lW2p9yDAPrY4An8u95/bI
JMmuohHlY7iIj43v5sgrKXGiPhVc/rMC3ulpoek0nNC//NQmkyPPVCLSRy16nBHt7fJzP2M3egWm
rp2I5g1qKIGU/H5amyC90r1CUUsb0Llp0bqtOw3BAdquNSGfcMnt2bu144ErB3b4fR1nT0Xs5ZON
4t6bT1bsDYOrPtfWk8RjlLaVPwCL/vZ3B3bgpgyCxsH6et3oMtCzHHw0wyk1rC6MisbTu/P47eqE
Gc5ZSndxM+Z+ffNPeB0YcXA8EMcCnORgRYgd5EANORnJlbW8m137euEQHMRFC5LVppMO7dfYct1N
JRCRwGh1KPSPOVTusazG92y8/mEUNlJQThAy0PI3qsLAyFcB/SNC9U8pnlNmrcJQt7/+RK83Up4F
Un8IAshGACT3arsmX9gedIbWY6yG+lzqBhMHXSbcABR+WO9cNP7hkbihsUC5cFAIvy4XoEMPeV0P
RjRMBErXimMhpXH55ybwW36Kd7Xin9cWiS/MFP8z+cfxe70Z7OjXP+r/QrdFe4ua/ffKj9t66LP/
dTu8sgn6+bf+EtOJP8gK2a4n2PMJkCa+35/ERtv5A0kI/8OrGQ0nW+u/9B+W/QcrgNKMghYPH1oM
/yI28pdCWiG42JsYRvHRf0tY9/qWCmqK+wHYHtcNII7XFuc452Sz35WPQlrmHewpZ1/NZXlWV8jR
bDeB2ZCP7bsx7IhUXqDH27KAsQnwxmon1MjbFtDfGknEfrrOUo4PdVdXcj9wI5+P0JSSzy64criT
5jjRxtGq/BCO/nZ5zAb/zm5k/9Xx1uXYFbUjTkEU8/LE8HJpHZuhF/bD7EkfT2VPz8/wsPIzcu+1
eaCbuGHTVivFXg/9nB6aYbCbo0ZufpnSNvqc9Cyw2FiWTlwWzup4ex0Uy3Wa8hpiUiGFRlE4TMig
yyL4VvG1i8vNuS+IsUUq6pj2tmUOMb4NDVuLNwqj/NHnpk4e/SFxihbaPTRBHWN7MNvNvuUW2dX7
qsr9/HTlE+vyNJg7w/uchQWbhJWGcLjYorJOyF0T2EP4DVphQmTSlkf4wc5r8+s0WfKxzjDNPc4Z
rDZcGmrn0iXoNH3gXyGTjOYgXI1D1+bOHE+DBROSu5G4ra1hfjCC0s7iacHHpwAUdJoDBM3O01EL
9moaEcZAQ3pURGN/bMouCbCt1Hh5276pdxnn40nLpKIPF9JQjtJpFvlxmA3o7jmymMtcznBKB3t2
oIdUmBDsTF171/XUTepgUbhYJ3NqZGEcwJbEMWJE8rRXPs4PPooU0p5jrQd3+tDkQZ/dZb76andT
M0XhJIJpl4ecSJNavacG425wRpkaBHZiwJJFPhSiPs5oDw87a+0DBMMGTdk4UWRuR4VjtU5kwyL/
nLne+Nj7vSLUa7GWYNNtFtWu6i232ZvkCsOqsR1czPtZYprLUVGZ52ZfmgevnZr7vBu9xyQLwATG
zSziWFd172AN1LcY5JFXgtAyhEJ+glXUekocK/xCd2Fs5OHfB7hA39VQrH4Ulhm0zkyL7Ds6gdFF
1IePlI/p/+Y6N2MIXTf2SVM7aUtvt0byn9huOsSiU3BhkF9MF91c9Eu0cB0FfMWhyIqcPMmfKT1n
O26hB38e1ozyyNFT85zqtOt2HmZ+Z5Va2nu3sdv2MK4+NlceXW6aY2qa/NOpmqqjAvLt43lxEFMm
LfNlDWTSRogYTGy88N50d9DlxMcQycgz1MD845Tiv4WSQHVXeSDqBxcyGgENhp4ujA6rqjgoiu5j
LaADxrTKe6y/2lQdx74pDjIzMdsmyNg/Wh1BLDFG3+tFqHBH39krSlHqz3qaKao0jY5wZbwohHLs
YMFMPy5ScJKKqFg6pK6qmKD3qQnj5ShziPM+rLRKUswth+4u6PLmgyxSLCtyo1sv21mNj7PQ4qlO
w/UT5WMDD9aWww2effmtLIYKiBex127ppvDHuJJGCdsGDO/MSkv8xoOpbT/jzo4UaOJCu6lRlrtl
mVnE3tiHHwGDl4diWMsvLjzoYo95Jr5L2DDneIqMpQllxCyXm9pVNqYuJAb0+8aYC9jmWHRROs/a
LdCnVORrmNicqRjVRmbvEykK84CzawvVzyuhmcZlIqTp7lvTzpsfLovlthCp333PnWXFEt5f+0u6
hJipO0Ft9zsHm3M4A7LaeD5Fatu4ZDLdwZaDzowC2ociMjK3yg/rsqH8UCg7MRyKike9TDtUUM/K
B5k50ylWnTkU6Qlr3XLFaGXZm+k8FQjZurBhqppz6pJLGKxrM8W4Mo7+fBgHbTzwkXNIzt0YuDEN
u8zbNxryLhqunivaJElt8k/8eql0j6kU3ODigHIq8L56g7FmR89TiNMO9DxIuIy6JqjYiuxUGGK3
Qh7R8hJ6Rl7BSpj6lfyO0dInGQwoF89QpxvgjHE3q2x+tOP09lXhoixjypPbEh4bpQJ6Utize0Wz
gzqXHEgINlHmhFCPTxKD+MkOf73ac8+2I8qiHMctwj9p5YDSZOUyxh6XtUhnugsfZtV0uejQKUtC
0LT27lKMUgMndvLOMrddtfKPjecVPoRRmEHjXUIejv3YmY2a910n0WxZfdsln6x80j8W0SYPE2ii
FQ3GaH6v7bmxTytU1W3kQ1cq4kVOAqJR5nLWicz8zG6X/Fj1lF300lQ/yAYNTiW6tn6XGoZb7aEA
4Gcua+DzaG6S4TJYCjy8sg4WI1FnVf3Ry9vsU5Om/Rl6hf7LgN1VHxlQ9r66Sx/ShIXEFmK2k2LF
l6wN4To47Mtm59Wc45EBPQclUNeY92weHanE9lhfsWMZuGcVm9H/YmT6tPPBW/ccQnYbjWObILTC
N/G8sjJIYei8cB7K/cr/ApNHQnslgIK1j4nXeoDcuX7TCWd/pF2aiEi5lfnsICm4GyqT+D6Hg66I
1rLwP6Yzsrq9t9iQ+2wM+BSmGKX5rXPceo3Cpkxvwy63v84rcxqx1sSDDgt2uX3cGmPHoYtoKjts
3E4RexWpZdCR5PxBTEHwsBZt3+/NtlRih/Zo9PcUC0t3nHGTHeNOtypDlYd/776s9Pg4OaSR4EG3
ZNDmtAvoUratQuhvZT6wtijGQwjls9njrW/1uzDHDTYaa78sD2lQy0cHLpuInTC1n2eWNSo/muBf
Uo/1g0qgCu14ToljjcxyGGiVhbK24T+v/HW3lv6VOxfI78iUqtEXkJjoRrPhQJFmC85RygPMnIeb
q1IMIYsahA2ZYPoqzBvvUo0dyfQUZgMwhMH2RYmzetRrxjZ2ByfBO5Wja3wqJqcir2Jd7Bz7DxqX
Eca7VovWXaFyDdKsRtuIrWAeed2C19Ba2NDYHBqYGEJNS7sc15yNiQBb6h+sYP1u52pdlKdQYkd3
D/ToD2RjiQFyP7kcB1+Rio59eN5u7nTGuEOpGOKnlwwe+1LAjovtPyLYTCbJBX4PXKeL3rAs+CEY
j8SekTFTR8GF9CRFd6ljvc7yEyhHzuaLiRVmRwpC3tAbvnWYrXWsIpx6YCUSGwEMg1+jeyOtMfgw
jrNxYq0mon0MfNg/UmDPjWcjrggoqJ5ClU2Xbu+xd8uyWK+YmvMTgD3pCe48IoFz+9I4C8bRvzZn
D3YyesH8e9Ov883EzbU/zE1hfOLJPT8KZDreGYZZDJFefAEJWWcwD70lcL+QqQrhPAmd70itGlan
i6YZwjH4SzxnKr2eK2k8BTLovmGdgfYoqweQpLbq0s9IPRscMqbsctJL8YmvNZw2o8jHyIcDPyCB
sZofVb6ucodIwL7r2tVyYhcPRYQI5dxNxxoH5GPSomvFYtgI53isA/k4IaZUUTkoaz6OdFgS1r8x
rjHeQ7UZQRRGJQOvDlYFpl/+bUkGYnqsMy+pYkr8lBlazOWngFIFp6yCLSbKUokT31bqs4PlBisp
J/Mji9gbZRKnyzjYyEGgl2KN2UJwz+vZu5iGdP0oygzZUmK5o4qcNbQ1BMK8uMmRXP0QdmqcrSMF
Iz5Klk9IYCNvdCndDyFtlNPRV0Lz8qHHxVmWIl2eJ0PrUyjlJFN0SeoEELRXz4yJBcmuRNGH3yuV
Ok+0QkCfNKJp42BWLpuCoARHvAPxtTqEcDKtU+5sxYWc5+3ogWtcYduDdWMU5isUTLdgc4j6sTLz
vTQs1e74q1ShLb5w7T7Aq/SjlZekwedJCmV5gq3Cf45qOsexK2n742ANw03VoqnZU8kwB/Ow7q41
kTE6brzcOci1YmvyK1Fd+5i3flZNP7rxCkcYPvlStad1P0n3gGzcq1E8IICqEBLDf8rTQV3IhJyp
nWa8FY+uEusf1l/m3QZm4lT7gDJxjjKp1mu4bwqHjTynyFu7NiXAR8Jyvsi9LoO/JdvgFDFsewO1
wOjgiKQAUxoqFYp1u5gwtl5F+GyBu3xWLIL72WlDBBuLnsOo8ZeAFj5aia9p4M+P5OTwurF5c74G
q40P6EjsFZkD62w+4dVG3drYPm6zlD339G/xW0kMMlrGlV8oLuqa36egZf21cM2teTIm4UerLhIU
VrIJ7pAH+v5uggl+dPUoGmqhyWBaNOZICWINbYvfwdp5J76ouk1aiyVlXDYI2fguxnqBIV+v9iFi
D7U32FYrcnE02i4AJefExrMbvxujHXNY2dnQxKxE/76eWk//lEpt0SU1p2HmGmZ6xmbP+8VLxEZn
DEUffyecnj4PKlg+kFRKm50VVYyYhyeYuSQT9NiImkpwzfIWuRxIXSmxCVAOeSxyypKey5WNEMUa
ORFnH4OuOKV0AeA1R6JmfCObP2uuItV/AT39Z7jS/2suTT9Vrr8Al97ASpvH9F+wEi6VpLrTdzGh
GtIZ4t/8BStZfwSWCKGJhY63Fd+gj3/pZW1gJViCtokAijYIxeW/YCVsRTYoip/zv7k7kx23sW1N
v0rgTu69QMmHPSmg7gUshaJxNA47wk16IjAiZJISxb4RVSigJvUQNa7RGdSshjXLN6knqW9ToTwi
pYywTVamb8YBDtJ2YHfczVr/+te/SAlVEdJUvkdXBInpFsIDmiQU8KDm0aFAspoIj0YGYIbAwGck
FKA+unGBMMCYJC9hCVvcfubMkTjS7nGGZn6UfNGosaVUE2eKV3pWqWgkj9Fz59JDZBjbO95Y4r42
dNdDUkrX7MzpxmJXN/Y7hfow5ueuPseyXxJiT8+4QLEHQur4BceDaWbgC+RoBEKMp46Zcj0n2E7T
+cAL8ByqUArxIxB5kN1TZyUcDGfqzqvFibXxPUoETYQnskgobUHqAy4Kqh+4KySRDEX5NuHGeCTl
S+GpFRphOYaaKEqx53rl4wCtN+4QbCXzzUKUD/An2bSiRkiy8Z1I9MGRGsTCqZrXDlZYO1vVxvPC
jMcNM2uXjJR33LO4dtXCIEF/M6xduLWWI0FphglWYsQOycaOFWVXcejg/Fk6dpQQr5ovoq+oEC/D
Y67NJZR4CR3K+H4OShBfUyguTAIKX+uIo6yrZEFyGHIhVEgKZMoAI+RvReuRqa0s6xyBfGvxtUJ6
COVsT3GG+YUE4XQxIQkhdIBPfKxIeCrhp6lM+GVkJYPiHFHhdTZaOdIqGiW+H9+QTGtRN26o5bd8
Lj3/kJoYuBfxQFssqtE8yFUyZq3cOwY2IxtWwey/mKMeZ4xJP8YAWjjrkuEp/hoXg5jSOiFwECiP
emYO/XFkUdNrsmADcxcTO0LWuKiy4M0SLcNw4sr8osNjZI7jaSjUXaq5RxWBherkb3SjlD5ZKIhY
Iw0qGwkpuhxl6gkV08131IGk0B5wwJIqEiGk3mIsZeTpjQKSlgO4S2smLMcVszSLYD0kz2+poeOf
ZiZ5Pwu1wGRZDxR9dYxX76IyTYgQ83/pT514FIeaX4CzREpuvUUnwtNJnrMGVPddkMD5WE5Vtzw1
jUBVpfNC1leqTSHqWP0sRaGDWGMRkz46ByHRChzCMF2LsmeLEtt9ReomKS48SiE+QaRS/9Hx1LfB
cIWwc0LCkzNG6YZBralT7I9DDQFxUhjRB4XbRznA04U1oL7CClvpJpf19FHLE98ZrecW/o8ztEQx
CZXgMW8vMm0AmYVzw4ldfQRIYBlLKQ1AlKs57srAKrO3ZJUJ/8EFHR3Ni2lCWlWBh3wyzNXol6FK
htEkzJXpaTkowJqcOYW2g6Uh3ZrTtfZlLZXmxyhOlqijrdTg0k+cUD6zKG9WXuZ40+YojRTPGqXE
Tstjl0rk6H/CLDNGfuRrSN8kwPij4TJT18cxpRnAizPJIgO9NMJzTffDFeW4VsV7EVL97KPDko6i
yi3lMSYFow6mC7aK6QIjxhpXzMiUKr88iyStCi+T9WB9gvnnW19WrpSRUZxi/K3eZpJiASlHjluV
VDZcxsKjtdLgTYaya37CVVWhZI0PlwHTWmRck9MbIj9brsPlcOxEAb4MAPccngZFC5dzYDQdxYL1
JxRBBu77QUZKojcexOV0NecAVusVKZArLdauHGK3Chk4SjIVdbgU9DpQ1dadU8oIu6bMLl2QOXqs
lZKcnK9YjuVxWYQqFeKXZFJcDJyBlp0vQtRJrqocwf0Lzq1rvikprmjFx+UwXlHdENF0UooVKbHw
wygIhrwa9OvQeSBY7hZfcCKTcKSXlAoZpyToDD4FVjFHhJVCNyT7kC07QJ1MVK0zI/me0IW1Xpzj
lzgKCcyOSjT5bFjCDPiwllL9recsE6TQHFP7UKK27V+CbWrqqWIUSXIa+fkKo/KzUqs8DYtBIDSf
XHlNNtyt4fBOWNqFQmXpNVoFi+zTPF0sBpf4B1H+PqAWaHTuuikFzAwOjHu7BCFH/gDxddJbVZT0
Ryoqzh5fP8uHJz5cW5eSRzBt3jvLVDLB8KbZO0umHCOZ1FQOIkZPltjpsCJj8Tiel8vraRGTYxFA
I7AtyXeTkyUlnAJcKXd5nVJEPGTh1guKuSEC5o0k6iMr2OxpHI/T0gj8Kz2m+gtkJ0MAMLGKp0TU
fHFdAIPwmBLu9vKRgT7G24zAY3UaD/xleZpW7vRmGqIXjQgtPJzzUEskWIJGFs9Sw4g+GwGaFScg
BOZVEVcREJ8Ti62BdN/SWaKMU3rScH62XlC7Z+Si5iOde0bK64n00Vw5nspcKidE9g2qCuQwYJ3x
PCoqF/QwK+xBuAR/Hq6QaxwkSmycYN5G8YjaA5ivQmNSBkovS7YM0qAg5eQbvymrcJ5Qj4UHAPR+
mYI+p+oggBxOPqNF2sGSOIdTUmroGMUd+cJT4wpU2NTLL/DnjRVyBkPXP6HuHaUveb4zbtXCd6Sx
awEYAkBNF28000EXsFqv42WdLXCGg5aWJ8480r+sItcZiGRkM8KhMuUsQo0AzPhMSv1s/Z4qRa4x
HhIHRofAM8I3bKhVfhwPVyKHHogBVyeOcM5WkvtoTH30ZogQVG8UfxpYxwgqWeGJGkVFcp0H0+SN
o07f+/E6pMll6V8Ph4VFXuygCmxKDUZ3eJVIWa4KYxovRlTJCNSrWEfWa+w5AQyJykDk9jhKveng
bJoqyltqZq3SURrP5flb3yVrD7Sv4ubH+ECXWh+ov6gE270z+DneTOcrs6DLuap8LjJFyz+IOFd+
OiCRnLzlAbVBgSG0QjoNzCJGmSwz19xB4BeY/lqsy5PMWMbR4N1Kj9Ts0aOIqVJCfjWV+biUhuur
qYDTEPpybuMaYxu4svRAvcopOSQAU7w2YUyVykqAc0qN003LxBQPH/CdUcrSY1JjeqgPo6W7QvcQ
ITOB+pn6cjkfW6mvUCpKAIOLGiPEjgMvRIZOJWyjo0ZZpRV1hKhHtignxLGUcwpJOLg8geYhpOxp
xZXrgJjw3QAoEwJB5ciscUvKq2MnDmo8s6yxzYA6jFzHmc/g5/I6vl9S3TUbTQUoOpTD7I2RqO6n
QQFkSsWuSpmYNZLqR2Fx5dX4qlcgWzoy9HWRTrwag0WGeXieCmC2EJyTVIC1VOOQPuc1glsVqn5q
1Lgu0m5gvCGltpTzTEC/ZV4YiF4LQFgS0LCrD8Ppp7hGjOMaPR7WSPKqRpXRixMQM74jeLNSY88D
H19BHe9Ewm82BKHdbME9CgkZMrgocJHhtJKRIFyEnSDvEEklUniXVBaJlXDJl0B4dUJZPETUzAXA
TxoXify9fVJ0B68DCaEh3FaoRs0+FTymwko9c0SpruWFplIEeE0AcFJNV2tE5Vns5+e4x7emP5Py
FirRbPycdn/6YDXnUaDEakjqn8F7S6q8kk/k+Xo4cVCqP85WMipXOeiLio349vne29QPktvMIflm
sCqFMJHccrKAmalGJi+wnkn/mgwNdEVXSvD4fCdtMgv+m4kEJY4mdBlRN7K5pPMMcv6Kyxz4HoXA
qDJijTuYlGJnUYT2j/QFI4HUMsE0E1tqZ8sASRKe9EJqXWF0HWfOYPkJKT4JUdw59Yaf76umMDVo
bUxMoyMYdCIdsdZ82ulsIKOr4q8iggeouo2NyqRKdLmU1mdJHANhZ6RuRFjdx/EKMVdzqVr3A8it
E1dFdaKISKbm3dE+rVZxZkd+UL1ZD6KkemGQ+1+YMZowJAz0p0QmUXNBCsdRKSbL4iPtE05Ql/HP
tMH8SSvzu8g9f1GERcit/j7C8stsOWvU94INs0VYdO2VjmA5K2+1FMm0GmGRyPUmVZb/E0fiCWER
AE0qOEGithi62ZYkmLTgLRYJIN9RRmTD/W/sVlJIUGuF9kNSEuVYxU7Z2a3grnAsEE8dhRj6g1NQ
7SS6WS8016MoQjYEDff9FVbmyInTgXep6Nhrp7oJuGqucYnODZ4gwWFUBvGpoiLYPPLm6wynWFkq
8jHxkuUvhOMoAiA0kz5hE5u/WOFijTMxXYSfLHVAbg68hYAgMPzWgVmOcyfMrC/oAiAkP5omloYo
VJLoQezAIAe1+LRwqeP0QTaccHHi+LGrRmOPuhWDrwtflERBr9iFkQRbwPUWWHcIFctvKDavpBi8
jjywxiUlixaX1nSeqydxGhC3lPJBeeWXXuBSj0RSyhPTr+aYberaSm90CZX4cyqZu2qAPZfo1Zuo
QonKtoRfN7ZcQ6VwQWB6lgvndLCgLKK50CmgjeKTq5xilpfTSzfPsilVnSWPglJ6mev2NCTafTcd
evpKGoP+rNGh9HjaAvdinsxDNMNUKy6+VKt0lXxIFuUKDzFZLUEBymC6FFXVyfgh7BYiSAPAYKjV
NeIwivsO7szwy2q5XEXn01VYuFcrrj7CByVVbbB6VX1QTfUThynMlfGcxsgmIrE0ghq5tLw4PZ46
1MU6SVQlVqC7hCX1r6n1OI8SZ3lLEe+5Brw9Nc2QTLGRQlA+Kr5StalCwBslm1zR0EWKXPfDYCN2
RsZqhvSZoxIOKwh+ZejWUnOsVkcLa6k0JCkQwdLhCyhQGdF7WJ4hUpJ4X+NcGyi3kFwC4nQmkV2C
PIsPUynKbOJw87Feq7ENqcUyGElCqC32YZsTPPCT5ZXplsTj5kLQbahhOJ1BwjCgp5RL2TlLXWpn
jcM1BIh1PvTflWQSHGfaMH4HiYtalAayblSaLA35HbK+2Tlxx3ISIxfzQYnK4edMWkb3cwPhkCQy
P0nOnDqexkLV3oVqsnxQKCJPsSg110I8rzz5rMael7xdASF+jqSVdItSKQBNEQ1/WQuFTcehtD0k
B1lPxjE2FjXe8+Ck9Aa3akRVnCIO/YvK83HJtErPvqDAF73zYex/UbRkvgLn0AgZBLkQpPLX6olV
WvIoG5BHvCwV72IRSIOTdAANHimJ8ymSCiPU6MAjVqoEH0v/utZgjWWFohOtkO4KP0snVq4Yl2gP
0ISmJO8dK3hfpOhpKb62+oq2U3JRVaEyoaCsNuZwLMisgxlwmy7TEArNSp9D8FdiYsPTBSXzCEcv
JOPCDH3kkhbkrS3eYMOZwwvPk4fqsQWFwjophtN0ce1L8mo+UY3IXX5mH8zLRwW7bDhepuVUui6K
JRq/SzR5jV+cOUHD0bxaIQiYh2QEjamWgzZGsPaXg+v1apqiZFUlnvl2SJTPwI8uQUXC9cL9CpmC
mNtgakTvC6MY3qDEktxbMpU+BNebukHWKoPFEoBWfRgOEPo/nSuDgkEkkMk/I1UWBJNEKmRpooBG
R8dhBZB3k5YZFLFwLlNPVHIk5XMpE9CfQMXkYUcDjsy4RTJfmCeuFnq4Xqm7SN4stDKcn1GYSQhJ
G+Z0ebJcuzzOAJelW3xSjdhanQqLSBlTb2/uXsaRRUbDdJWkwJ1gLoY/M8tAmd9oURxFJ5kaJol0
tiZzbX07VFG6Hw/jWPEvcDyWrA7kRN0ZqUUB1WjnhTtglrdNCkFORu0Ba0JDtZGXqfmQuMpKWejw
EkfJPCMzOTDnUngcRUn28AP9wFMV5AzSY9p1r/RSXq1NtaDMIADSfeSW1b2cuMULBv8egZXZUO9e
ZFxgLipGy0ACVC98A0I/uZVD9YxivR6BWz94TwxzNYqjBWjVlEPx/NRqw3r3MRZrKDL1SLFEdKUO
4+w+xn4ZDC2+kMi9CJRxNljBc1xKTjbRzDV8Vm0OBUlSobUg7hxPpDCinhLAoPnx+XG0TXMxDBOf
BjfL4mo0Wt4O6RYmyZ4kZjiBA1I9dy55ah08rSo5f76n/U1DEF+r/TiT9HxF+EE71ofFvemF8noA
3BYM79B7lE/WaSW/UA53fz7k5KPdg8IM3DRyW5q9BJR8J5JI8owx5DykROGPXSeYXlZIF3/3KUAB
ABVmjZUDCGrn6aypguToRjAFBZ6SmFjJj26pOCfPr9qB+ZCngUQMDGuTnMGWO+MbhGBcCmmO4sEU
48dBahhJMCu7URY+lM3nOzvwiajGxl4EtUafR24ZiHOQqAK0cEhcPv48kChdtnYW3gv74NCMsENl
TewBklBaM4p0SnR4WjkcEVOAbSvleba4WBDgwK4KceiPv39OuPISCao4Qaoo4Le77YwK141DCDnH
SPMTJcmGk+lg/VJWuBj07mkm5Y2AKbkudahyT7/AHJbDUgs0gAo9pGZt4S4ujJzDTbgqhwovPT4/
qQPd4RZQmLDOgyQ3oDkpM7NQRUNzHIm0gfdpFWvqxcAfKhdJPgyv1arSXlD32b8iqX4okUUglC7w
ZVqLSHhsLlFNHUxkCCvZzxxbUaQIZqp8XRnE+pRi+UKP+7uEHmUUm0jkkaiE1sIlHA9eAGXFzBHA
D1U+zRjlc9ZhnEiI+z2/mAcnJy4NFZiJJIrWrtc1CHQ+qn2UfFutThaLsjwh0yK/o+xPeOLIc++D
mZZQdJ/v9dAE2fycAhnkAA5O8xNS1NbhBiHCZMlycTqg3sJEiRbxSRr56enzXYkJ7G5Occfj8vFi
Iy2GEHZrLU2SEBAjrtAYLJz8whuYws5Mi7Pne2nvSdELClOWQTFrNCXaRkEAUX6xMlHaTJBsvxfq
jKdDeRlMMrI03i71wUvVOQ72t0FfOAdcwM0FnE8dv7LmJH8OzTk6s1qyOM09rfpccK1Qs96EE/78
BPf3CbaBSgYolAgYDu38Yy9fDwqTMmUjuQQEplQepjdc/MWdhmTBmwSZYaIBMPulF3bKwX4hQEjg
c8BMbUQrWxVyQiV7noByqd35USWPKQsVvgsSPXuoZKm4HYTeSxmb+3uG0BjpgTLZ1iKRvLU9NW+I
wGlKMnxGmgJAqy+p9woioMfPr+n+KVCoq4KuDXAE1d2U1kf0sb1qxQRBllLPISY+cgeFp/Mhues/
0BOfBMCFzqw2VFfAGqniRB6OQklOf8GdTighvU61M72Q85dkT/b3JrYxQAgZdaCQCM409+bKcJJc
NlI6m/qn0AqIaKbmQ+mo6SkQxpvnZ7b/qUhHFLpHGvlfOjozzc7mkDWma4TQwFYKeKGraXiMTtnw
hfWrL6TmLSK6GerMCDRXN8Wn3LHf0IRc+W4AZaWarsvpcW6UEOTySsmp5jII4aAVlcWazhGb+zwo
rERExFPwUHXgmrBuOR46ySautiTrNJDMFzbSwUUQJgVJaDrazK3R6Xia05SIKtxMIx5T/U86qYzp
6oVF2D+KyA8A1vPaky8N8ttcA2rYkq8D+23kkjR7Sd3s8MaRBKfeSqPbitDgZ08z1O/MOhfJewiT
6TC0yHhjfs1Oy4E5zQvEwlClLKxTV6+obk3Ozwu3mzCMG5+XXF06kVCL0DkfbTU2048GRDlSUdwt
SB50j8J3I89fgER5ZIfHx8lU0QfXJCIstUskOVTjhaXdOzKyyv8odq4g/0RubesDmuvUIxUAKB0Z
5OQSPi2whZbIq7NVQLnd0TpDRvz5cyNabM0YFQ6hvYARTWCidUgRuI08l2uegjMQoz5o03CKWG6Y
O9r5mvSB4Qvv494OJcJj4PgMUbii33YsSyGkaaE0qI/kjGRvovveKAxX3/1IiV64UTHiCZvJ7bxh
PykRd3JVwWZepCdqEMqn+kJDgDtU5DEx/ugxRjr+hW+378zK3Ac6507koKIm0Pa61tkUdQnHIpjr
UJdHpjq6IX8Mhua15aZ3+rK416buWDMRYw2N/KXehfXZ/JDIlUJhRMiHQh1q+4BQUSor5crXSTrQ
k8lAQ6cDFneOyKy+ujFiYDTKts7fwR0vT1HBTs/IfStj7fH57dT6vtiPMtqZQrQRf14YQs1jOpfD
gNrwKJvOzcAaRRkJo2DhL6ncHeoFdSYuAhXZQiRDmr2g0lqtI49UEx3O4phcmugYhov8wpIK/2Fn
RYUQCTkNwgLAREWPrXXPeYFSchGVJCatiyHFwxDJtefDhZdQ2k2dlmfZkLTJY9TNyvlJhSZ3dGIU
qRW/oBDZOqBiFIjQCcMHoxyPUdzGOy8OnPnIctdUxVLJznzP+1HAUlSNFZlWSQ5Q+/z32+9NRQ6N
WB4ydLKQM232ZgCUOcGKzJNMKGov+AAE9hdzRIINs7Tmx8/3VluLzSXWCP1wZtCZgeiqieHsTI6E
D9gMcgTnT7UGFAMngTUo4QqlZnlaSGRVvEEJf6jA+E6M6i4eMqAJ1bCswakx9AfxtZYM17Dhc+Ij
hp1IU9k81gqEko5NCtXdFUZI4i26KGa0eLeAUKiNK1fOqfBC2OgLqWGJNJkv5Gh4YkzJcYXSiP0c
fp6S+Te365n+B4oMPg1V1BSaBCQcVe/yWVK9n6Ukh6TbiJr41xvA2OyOtOkf+aXnGzqa1Y3eVdHs
3/7pAUw/EyNwvGYFXQ71zjb6bUj1eJ9rwbcZcf5I0xTN5VIg11yYgX4YOE9/DzlbQj+ZWP/TD4eJ
oObO0vze5J+f12YVn/+d50a+WZbzR4KdRte5K/IrMTkeIeKq4oeHYmcJdJN/xse3RLD1J5u7shnS
Rsz6B787tjnUCuHY7Exa014hzgCujV23XZOfbO7CO2rE1+ud+B17Xhm+wutBJxFNi81PcwlM9C64
1MVNW//8dFufjIquS6CJrQ+ZR9S1rn8aS6Crr/hLCrWA39U/GCc/1y7ovADW5uyL8uKbn8YCKGL+
Q7TJN4egvhp+rgUQ1k23U2BQyQ7XTRNB0nq2jRXQJbgoCGoA6GzWgPfhJ1uBYecl0F/BkwWCEz5I
/dNcApncJVHMj6SG+uenWwIRe+y6CchDUTBin3Z68wnkphTxKtzCp3Og/HSbQECAnZZAlV8Bu5kS
YbnG11cNVJRgDINx/KRfH3Cg69y550EWZKoHNOeuvyJGifYKsMD2YPxkh3+vPPp3WwHGKyJT3HAQ
r+sf9vaOISRbr4RbLgJ0m3/+6YxAKq90/PwKxh48afSweE535o4RqPP4wyJ8Wpqfb+4iqtHp2Juv
hIylJkq2H/r83HxEMYT78/PNfY9g+r1bX6ZSraiFQiLv5qd582msTR0o3jkZP9fp51rq+PlltjgS
HVrNwd7Z+nx3OEqE5Yjb/Zw3X40Ed9r6qvYKhU2BnT99f6yInSVQh68I2fDqswrfuwTfgA/8hqAg
du8/1tiJN0sPQSy/9wtb9GD/35+QgxoekJCo/Y3/XP+qAFM2vf8DXPn3BrZS4xs7//ifcbB3/tj4
3Y2U5M6/bsGR3b6e1mN/pAfnsP3LM2+W2MkDZWxrEOhpVkK/8t/+6bV/bwfNmtZchf8Yxh5a9NtW
ebbV4BHyn71tSCwgd0LnVvM0S5pjFRyhrs2OZpRgz5fbhsRgBR7SudkwZWGP7ODx6GyWrGeIscG1
3LZb98KD27mXmW8nebptqG6Wy6xzs7nv2K21VnsY7jG6MHay2A5QDLfOV/h9dPKb9tt5wjKItKDN
vOtme9hwkzQLW4dDMIG6Lu54PXtwm/tYxBu7NntCId7WIphcxZ2btZNwdnSeirYb+0zgmJ0bT+zg
YbZtR3w3q4cTferdJ7af2cluw0LAo+twT0Hug3RWbVsSAxbEy87tzpKlHTSb7WMdktmsuboiNNp1
sOMkBO9v3GSk9HRv9ywPuHMaiwAxsnu75w97l0OdaNh1Hc4z22+OVrj8XVt9M0taGwy/sYdm7eDo
yq6auWI1iazrgC/trGjtBqHo3rlZL3PztmkC7aV7y7d+WNiL9pB7WONLj3s9myHjOfMaOXkUn+s+
7Mt8NVveo+7qbNsSt4+s9XDFX4X+I2vSaFfv4Vq7CgP7IWw228MRuRJ3e6NVwQ/suuGuZ5k7S/Ze
OdyWHtpG/N9u3hV9PM03YfvBB2TpPtqbMKEaj+1vW6r3mch+6brE70NeuebBU6Qe7gpxomfthkW1
u64Dvq1vzQTNuW1bYi1IHtj+8WBA/ZtM1tvIbl4SNcGk84ALG4cuaVjCkPZ6GG45e2w+HuC8fTTr
ZevNqds2Vq9wH0/eh0XCEjeMS6WP9+ND4GWzx6MLL3Aew6bbqPWw5z5iXD2w78YwRRprovdwArmR
eaBmTtLc0H14Nbez5L51ts0edgiOx+wo/Irx0nxSCTX2czFT/eLKfpg9tj09UaGmh8fqIkzDorHa
pNNTraIHw/bX/y6u/0OuGZw5mYRCeMLUohZ1MV7u7hC09BtBZx9wahJvvv/fn67m+rCrQpJjC1bV
Tf0loLWxHdiPDTtFBNi63vCn+HR7fn4fj/PVbOW1jDVRtKXreG+5g7OjGyDIZFaDYVdenM/Ah7dN
11tA6qGnp3v5NrOzWdpoXZTV7DqPMQ0AKhy9Xs4S7udtg/XoYVI+d/EzmG8yCcYgbvf3s9ZFB2mM
pLfnnvBN+3/eASb5dPgXPL+vAxCkB/EY735s/eWt+ud9CSJs7MSuV+nu+J9u4t2/mgiwdhtjafS1
/ZftXz4XIgB199Yt42y7zj9uVY/DNLOP3re/WQ/nf+If3dp+YRPY2A5TnH1RD7br1XKac2Mtbb+x
zzhSnRs+C4PHPLEblyHkjO4NX7PAie3kjREjxdC95RsezWWz2ZcB1kO784+xXWB1yt1tl93x//87
cLYr/KHtJxKbV5D+um7ecRW14k96Dzv31F7bR7dE+6LtCOvxCpHurgM+J+SwbaVuVKTudm40TexZ
EzDpY3EZa7wdXD3WPnzuN2HSKvbXiyt1kZe2lzVGK6jVXVf2ckaAumkt1kS1ru2+BYrajq5eWsH/
79roO7I4Gs8D6ibdW72180fv6HVit/1rwdjqOuRbhIka921NCOna6pMtLsZ8NFl6yZ5JLijnXTv5
NEuzo5EdNMLJde5t15Z/R1WvY5T6Ojxi0/1zetRGbeviA13HfCrAYAp53j9SkB4XpXEUNdh9PVzL
FJm6P4Q3YFTA7+kDe359nx9d5WljRz613sPd/1/eT24n7z9Ojv/rkdg8BHOP9vY/2duiaj0J7YLH
LUhdLy7c7vs9ebKO/xj7g7IUYHdbe/s57IRhBWyxFyhJ4QPu5wu/81PQlr62nXDUido3ytOUv9H7
Puzu1b5t66b6znbT1v2K1kS3kU7yJIwarhNpV/vI9vcN85qgj3sQ3ajhuW5LIIhbtt9aB3zVjgtx
W9cuPoDIkMs/3LM9vm893oqT0BwxKmUo9CCsoSODYnFF7D/u39fHDeaC08adqZark29MBjAJ0KZs
SqKa/e8+Dt+KLbFn7NZGNJBcrrXKqHBDTgb0zefMiW/taERw1nvAdm8/+SYyK9yn6A0xP2jw5Mv1
MK+rWRpGYWYvm59KSHAMSVNHLoRyVaqO8kofndmOm8zuty0Js5HEP0R52A6C4zuEBC0I3p2/1m9I
4NHvRKVFki2CvGgSEjYUagvPBoc23+7Pe6XE3fwtb1T+j7Tk/whvkO8ABTcslR6M2teBgyG33UNi
i+1dkjvL9I1v2yjM0hJkZbfZuhIX91VGId8DWeHfhFiPiLo3vCghePi7u/9bB5snefDobRsSS6D2
0OzYtR9329x/ML9/Xd/Povze57ojQAl75GhMxnsj1icEMrqux/FsGT7gQdHNy/31sAPHEMOTsOly
v2wDb3LHn0N8xxTkSkLuos2CiO8qtOC6Ls9vgZnaJAx+W6Nty3U/zz0137gtx3Y0O/o4Sx4bltez
j/M3tnw89+B1ZY0db+xZs9+/OydOFTW8QJHf2XW5JzFodci95x8haBfMGneKyPvr3EHiZUmz2T54
BJPMpeJX87oWIhVdh3vHsT+1ly1oRqg5dW351L5vHkKrh8936raegX0bPP/HK/yNG3h/I6CA0X0B
xr/+72x29PjP5wUCgo1Th5BA9+YvZkHV2L0HHLPvX4tL775tFSC31X20lxi6mdt4XKCR9NCud99a
BZEK23XvXsF8cOyUKNG2LXENy308I7CYwyxrbodnrd9v3MSwSu2ycQfLeg/rS7OtRns4xVc8pA8t
skYf+N6VnXP7es18IlnoDHbfEKLltkct9/HMXYVrcf/CKtkOs95rRg/b+NrDxG+02seTUbfafInk
PhKANtcwuohpaueNUe+DId9/sb3/9e950BKMQs1j28+POxHv8UyaPClK5XVv9nZWPbgz329xgfrI
VHnCnfYwSPRJ+xg3/Mwm+RpFhR7aFRQs++hyFrY4sUJqtevxvoXZ3cb3+oir3h4uIN3Rbb2jiOx2
zuKuoDrS9o8/vo1vf/2f4dFduPz17zXN7Sb59X8FD14Tp1XUHtaaIIzXgvJq4bau3/DODtbtC5oS
Zt1X5oOzd8D7yBAa5cmCjNqjEzttfs0+sm3IjvZaNj2alN3XYgIOQySmYRLUpbK6fr0vez4Iws/d
x/vFW97b92XjaVX6CJVv7tD9891Hus3IS47uMOYahAzw+u7L8fq+mjW+nSlKmiF8IHQ7CRmK2mYv
9fLn4bCoxv8liZpfHbxaot5NRkcPu/81uSn3tjdvNqy/9IVfxsJeJ5Tta5qAPbgFcCEc336cpe52
hJvXbfunH3/cripbJO5vG6qb7WPA1KJrrq1QIO16FY7Aj5unVFSd7NoqsOh9+Nj8Zn08Y7eJd3QJ
iaUBRfSBGMAGaCL+fbyLUEqdowvxf7ev328Xtfa3+rDZz9ENCWYt40aGYdn569Fy89NRDK17q2/s
qLl9qZXUvdWLKkFGu32d8cp0b3oT5b8IWwAr0vfd29686Afa7uFIX8AHXbj7S9LDub60mzEJUqa6
rwUZZXa4d0T0HlaZDD4ChK293IdlClD16BVNb5nSBH2shW9X7TPdRyjiehY1/WRZVP3pes/f2Anp
gP5BmpuoZ9C9/cWeqUJppB4aRgDLiyJiMum2sfqdfpaR8I3g6C3JrnbEtdFoWe5hd9y5ttfmQypK
D+f6zp57+yuNub6dwo9bQ3e2B2a1bWdjY/UxYhxaYRa2rzmljxvpw/p+dmA5+pCP+OjNMrI2GuvR
x1X3FtZYWBydZxACoqO/HU2IO4ZZ/nQyd7uTdUXq4QM8dXiRB3bq4kP+7Wj7n96hTqlM1YMNcRsR
2/erQ/cNhKk+bJ8r7/GRJOqJnWa7i7bJXfn9+4xb5JtIIE+rditqXGPNs2q//edGNWq3U1IF4WO9
6CO/7EGJcE1l84ESz/+//+1/pAvxp9OkIvDECM6InS7t7Vdr3IfQDg21j8jZnQefYUBcrhmMMikl
hsbzdtI/fsvcznAKFtvtnv7t2LPDCn/JO3oHP8ZuYF6iPlNdeqvr63QcLh5DFvDOXuBGes1ULHT8
4e718PEu7NxLvAZvX6YaPQKpPdiKN/bA9wYPKKwN0jTffoeNj1L30QMOhDCIc6DlHu6gSzvK3JZZ
s1maFx+uPw9YIty/SVLuyvLbnYI4Oehr7v7VRAD/nVNPXyf5fcPb7sEshz3ukQ9ZQ/8jO7knbrG7
P3rwCiEG5p7fpAb2YYCJ0ZLV2rgj+xC+EMSYke2Szdloug8HeWxXJNIcejH7MGfGrd3RBwvgOFwC
+jczyfswHrbtHqa99eG9oTfRlrHoI8+HnOdHVCDyZnysjzj1GVmIDYhe7uMxfsM+bn0/BK+3R/zH
H/krOxHhoDZ5oQ9ipND6SUXMt2H1UaSj+6hv0MHMQpFn37BCKMrWve2NYMiFl2VpfZtezwqveYP0
YepvernMH5pIitLLzYdgmPdoP9bDvwvvyfHYLkvtK4pibF3ttDt8xc36jNmXYXroMqTaSPeONgv1
0UOmFR0XoTckiM6bW2EPauiDOjYSDKTUPfroJY538JInQa/7vD7cPttDDxt5hPphi7dIWd7uIx+T
ygO6uG2o3lJ90JJu7aZVpIgyDl33KcBRdjQh/4uod948xn1Qnja7ExMmc3/9uz9bVtsRi1XR+6HN
MIErmx6a8nfEfPvAMDcT2LwCR/9ygjbBw+xfdyehkt/zosNyyEZ+xnLuU7yrzuLravb/hLr4h1IW
+5CUJALzNfQXB/AkA0k7lJ4o4YpAnGWRdvmiO/nnffdNhuVf8LsnjrjymoHTPkC4EUGblk5yHwKG
o8ReN3kufXDZxoQSZru3UB942Tj0w3aeRB8w8eQBX6KpytSHcN0Jjs+DK5JcWhkTfTCUTmx/IaIe
h8w2swer7TSHsNFAIMDXth/0x72VW9BWkP7G1pCfTa39RgxZBN2ATxrPt2z1YCffzJJ8O+8aAnz5
Un0Ze/6Q5O3BUvdw282PL+9HpFnXiCM2PhxJvi+1/Oc9A4eSurs+CruzeRkD3P3tyS482KORcyjx
v+ssf0KTZ6NsiSSKvQwbW7APO3pEiYs2KNqDG3crHpXwoJvYB19mHArf+l8uZqgVBs6/Hrqu+/B5
a1qOUKPBERDPzaF++hDkH4fh1vJs+GL6i7GFly/FE2/ubS8qcdP2wcU4QXRcaEc9PulJ1ELQ3kOy
TxJ7ViD1Gx+hpxcfVf1qj4TWh7bhU/s1T0p8bPH+/6Y6IziAj42P0sfzB8zaiMvvK5bk353teTZD
YP5ph9ZzuHo4Burwt3/XmERdELwriHBBsPAeAGF3e8l9pFKM3QS2BRGKp+k0O+jB/LielUdj2z+g
Lt6H5Pq118p56yNR+qMdkOHdNJr6QIKuyS1sttrHmRUL/GUGF6BZ/Qv18+23/HFz7MbLHkDwDj4u
6OX00IEdETIUUziQQd1PKNxvZwL2sKl5pFJC1Icpcn3o1m5AsbOZT+jpPx29ToGeUzIPN3i6OLEE
/6B5jPPAbdgpyBh1/yh34QILvLFTlT5MiTuIm83R9kG6vcup+NEabA878xOf19vEF07yDD7Udl1r
tLmPiOiekan0QSwZCwakiE1tD+3uuHWgVNNEN4kK9RBBNL2PGjwfNtVAbmu9q6MrSsUkR29zCF3Y
iwfNOFOQaCQkBi2wPpTEXtbMOOTi/DHo7iEtsq6Oz+5sfhL37oAQ2h87y411LVC33yrYbgfwnKLO
6SwkRtY4m30wlN/naYuurfQRQr/79f+QsFnNdo8kMnfbP/7eO727X7YO/h+z+w+JyG0/S/2tnrbv
M678nozZ7mx+jt1/SMHurzfLQ4J5P9ksd7fGdqM361iL33jwcb/+/f8BAAD//w==</cx:binary>
              </cx:geoCache>
            </cx:geography>
          </cx:layoutPr>
        </cx:series>
      </cx:plotAreaRegion>
    </cx:plotArea>
    <cx:legend pos="l" align="ctr" overlay="0">
      <cx:txPr>
        <a:bodyPr spcFirstLastPara="1" vertOverflow="ellipsis" horzOverflow="overflow" wrap="square" lIns="0" tIns="0" rIns="0" bIns="0" anchor="ctr" anchorCtr="1"/>
        <a:lstStyle/>
        <a:p>
          <a:pPr algn="ctr" rtl="0">
            <a:defRPr sz="1100" b="1"/>
          </a:pPr>
          <a:endParaRPr lang="en-US" sz="1100" b="1" i="0" u="none" strike="noStrike" baseline="0">
            <a:solidFill>
              <a:sysClr val="windowText" lastClr="000000">
                <a:lumMod val="65000"/>
                <a:lumOff val="35000"/>
              </a:sysClr>
            </a:solidFill>
            <a:latin typeface="Calibri" panose="020F0502020204030204"/>
          </a:endParaRPr>
        </a:p>
      </cx:txPr>
    </cx:legend>
  </cx:chart>
  <cx:spPr>
    <a:noFill/>
    <a:ln>
      <a:noFill/>
    </a:ln>
  </cx:spPr>
</cx:chartSpace>
</file>

<file path=xl/charts/colors1.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withinLinear" id="19">
  <a:schemeClr val="accent6"/>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withinLinear" id="17">
  <a:schemeClr val="accent4"/>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494">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85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a:ln w="3175">
        <a:solidFill>
          <a:schemeClr val="bg1"/>
        </a:solidFill>
      </a:ln>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8" Type="http://schemas.openxmlformats.org/officeDocument/2006/relationships/image" Target="../media/image4.png"/><Relationship Id="rId3" Type="http://schemas.openxmlformats.org/officeDocument/2006/relationships/image" Target="../media/image3.png"/><Relationship Id="rId7" Type="http://schemas.openxmlformats.org/officeDocument/2006/relationships/chart" Target="../charts/chart4.xml"/><Relationship Id="rId2" Type="http://schemas.openxmlformats.org/officeDocument/2006/relationships/image" Target="../media/image2.png"/><Relationship Id="rId1" Type="http://schemas.openxmlformats.org/officeDocument/2006/relationships/image" Target="../media/image1.png"/><Relationship Id="rId6" Type="http://schemas.openxmlformats.org/officeDocument/2006/relationships/chart" Target="../charts/chart3.xml"/><Relationship Id="rId11" Type="http://schemas.openxmlformats.org/officeDocument/2006/relationships/chart" Target="../charts/chart5.xml"/><Relationship Id="rId5" Type="http://schemas.openxmlformats.org/officeDocument/2006/relationships/chart" Target="../charts/chart2.xml"/><Relationship Id="rId10" Type="http://schemas.openxmlformats.org/officeDocument/2006/relationships/image" Target="../media/image5.png"/><Relationship Id="rId4" Type="http://schemas.openxmlformats.org/officeDocument/2006/relationships/chart" Target="../charts/chart1.xml"/><Relationship Id="rId9" Type="http://schemas.microsoft.com/office/2014/relationships/chartEx" Target="../charts/chartEx1.xml"/></Relationships>
</file>

<file path=xl/drawings/drawing1.xml><?xml version="1.0" encoding="utf-8"?>
<xdr:wsDr xmlns:xdr="http://schemas.openxmlformats.org/drawingml/2006/spreadsheetDrawing" xmlns:a="http://schemas.openxmlformats.org/drawingml/2006/main">
  <xdr:twoCellAnchor>
    <xdr:from>
      <xdr:col>0</xdr:col>
      <xdr:colOff>336625</xdr:colOff>
      <xdr:row>17</xdr:row>
      <xdr:rowOff>114300</xdr:rowOff>
    </xdr:from>
    <xdr:to>
      <xdr:col>4</xdr:col>
      <xdr:colOff>241790</xdr:colOff>
      <xdr:row>37</xdr:row>
      <xdr:rowOff>328</xdr:rowOff>
    </xdr:to>
    <xdr:sp macro="" textlink="">
      <xdr:nvSpPr>
        <xdr:cNvPr id="6" name="Rectangle: Rounded Corners 5">
          <a:extLst>
            <a:ext uri="{FF2B5EF4-FFF2-40B4-BE49-F238E27FC236}">
              <a16:creationId xmlns:a16="http://schemas.microsoft.com/office/drawing/2014/main" id="{E0FB6C6B-0251-4C51-826C-22C74EF77482}"/>
            </a:ext>
          </a:extLst>
        </xdr:cNvPr>
        <xdr:cNvSpPr/>
      </xdr:nvSpPr>
      <xdr:spPr>
        <a:xfrm>
          <a:off x="336625" y="3352800"/>
          <a:ext cx="2343565" cy="3696028"/>
        </a:xfrm>
        <a:prstGeom prst="roundRect">
          <a:avLst>
            <a:gd name="adj" fmla="val 4518"/>
          </a:avLst>
        </a:prstGeom>
        <a:solidFill>
          <a:schemeClr val="tx2">
            <a:lumMod val="20000"/>
            <a:lumOff val="80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US" sz="1600" b="1">
            <a:solidFill>
              <a:schemeClr val="lt1"/>
            </a:solidFill>
            <a:latin typeface="+mn-lt"/>
            <a:ea typeface="+mn-ea"/>
            <a:cs typeface="+mn-cs"/>
          </a:endParaRPr>
        </a:p>
      </xdr:txBody>
    </xdr:sp>
    <xdr:clientData/>
  </xdr:twoCellAnchor>
  <xdr:twoCellAnchor>
    <xdr:from>
      <xdr:col>4</xdr:col>
      <xdr:colOff>371475</xdr:colOff>
      <xdr:row>11</xdr:row>
      <xdr:rowOff>35702</xdr:rowOff>
    </xdr:from>
    <xdr:to>
      <xdr:col>15</xdr:col>
      <xdr:colOff>376658</xdr:colOff>
      <xdr:row>25</xdr:row>
      <xdr:rowOff>85726</xdr:rowOff>
    </xdr:to>
    <xdr:sp macro="" textlink="">
      <xdr:nvSpPr>
        <xdr:cNvPr id="13" name="Rectangle: Rounded Corners 12">
          <a:extLst>
            <a:ext uri="{FF2B5EF4-FFF2-40B4-BE49-F238E27FC236}">
              <a16:creationId xmlns:a16="http://schemas.microsoft.com/office/drawing/2014/main" id="{951C47ED-B0C7-4E58-96FB-7BE36C114807}"/>
            </a:ext>
          </a:extLst>
        </xdr:cNvPr>
        <xdr:cNvSpPr/>
      </xdr:nvSpPr>
      <xdr:spPr>
        <a:xfrm>
          <a:off x="2809875" y="2131202"/>
          <a:ext cx="6710783" cy="2717024"/>
        </a:xfrm>
        <a:prstGeom prst="roundRect">
          <a:avLst>
            <a:gd name="adj" fmla="val 4518"/>
          </a:avLst>
        </a:prstGeom>
        <a:solidFill>
          <a:schemeClr val="tx2">
            <a:lumMod val="20000"/>
            <a:lumOff val="80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US" sz="1600" b="1">
            <a:solidFill>
              <a:schemeClr val="lt1"/>
            </a:solidFill>
            <a:latin typeface="+mn-lt"/>
            <a:ea typeface="+mn-ea"/>
            <a:cs typeface="+mn-cs"/>
          </a:endParaRPr>
        </a:p>
      </xdr:txBody>
    </xdr:sp>
    <xdr:clientData/>
  </xdr:twoCellAnchor>
  <xdr:twoCellAnchor>
    <xdr:from>
      <xdr:col>15</xdr:col>
      <xdr:colOff>447675</xdr:colOff>
      <xdr:row>10</xdr:row>
      <xdr:rowOff>181782</xdr:rowOff>
    </xdr:from>
    <xdr:to>
      <xdr:col>25</xdr:col>
      <xdr:colOff>57376</xdr:colOff>
      <xdr:row>25</xdr:row>
      <xdr:rowOff>76199</xdr:rowOff>
    </xdr:to>
    <xdr:sp macro="" textlink="">
      <xdr:nvSpPr>
        <xdr:cNvPr id="14" name="Rectangle: Rounded Corners 13">
          <a:extLst>
            <a:ext uri="{FF2B5EF4-FFF2-40B4-BE49-F238E27FC236}">
              <a16:creationId xmlns:a16="http://schemas.microsoft.com/office/drawing/2014/main" id="{86362C56-1006-46AE-BFE1-DB87F0972CDD}"/>
            </a:ext>
          </a:extLst>
        </xdr:cNvPr>
        <xdr:cNvSpPr/>
      </xdr:nvSpPr>
      <xdr:spPr>
        <a:xfrm>
          <a:off x="9591675" y="2086782"/>
          <a:ext cx="5705701" cy="2751917"/>
        </a:xfrm>
        <a:prstGeom prst="roundRect">
          <a:avLst>
            <a:gd name="adj" fmla="val 4518"/>
          </a:avLst>
        </a:prstGeom>
        <a:solidFill>
          <a:schemeClr val="tx2">
            <a:lumMod val="20000"/>
            <a:lumOff val="80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US" sz="1600" b="1">
            <a:solidFill>
              <a:schemeClr val="lt1"/>
            </a:solidFill>
            <a:latin typeface="+mn-lt"/>
            <a:ea typeface="+mn-ea"/>
            <a:cs typeface="+mn-cs"/>
          </a:endParaRPr>
        </a:p>
      </xdr:txBody>
    </xdr:sp>
    <xdr:clientData/>
  </xdr:twoCellAnchor>
  <xdr:twoCellAnchor>
    <xdr:from>
      <xdr:col>4</xdr:col>
      <xdr:colOff>304800</xdr:colOff>
      <xdr:row>25</xdr:row>
      <xdr:rowOff>150642</xdr:rowOff>
    </xdr:from>
    <xdr:to>
      <xdr:col>10</xdr:col>
      <xdr:colOff>228599</xdr:colOff>
      <xdr:row>37</xdr:row>
      <xdr:rowOff>28575</xdr:rowOff>
    </xdr:to>
    <xdr:sp macro="" textlink="">
      <xdr:nvSpPr>
        <xdr:cNvPr id="15" name="Rectangle: Rounded Corners 14">
          <a:extLst>
            <a:ext uri="{FF2B5EF4-FFF2-40B4-BE49-F238E27FC236}">
              <a16:creationId xmlns:a16="http://schemas.microsoft.com/office/drawing/2014/main" id="{8BEA2FB9-7EBF-4687-A9F2-8C85D8FB9C5D}"/>
            </a:ext>
          </a:extLst>
        </xdr:cNvPr>
        <xdr:cNvSpPr/>
      </xdr:nvSpPr>
      <xdr:spPr>
        <a:xfrm>
          <a:off x="2743200" y="4913142"/>
          <a:ext cx="3581399" cy="2163933"/>
        </a:xfrm>
        <a:prstGeom prst="roundRect">
          <a:avLst>
            <a:gd name="adj" fmla="val 4518"/>
          </a:avLst>
        </a:prstGeom>
        <a:solidFill>
          <a:schemeClr val="tx2">
            <a:lumMod val="20000"/>
            <a:lumOff val="80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US" sz="1600" b="1">
            <a:solidFill>
              <a:schemeClr val="lt1"/>
            </a:solidFill>
            <a:latin typeface="+mn-lt"/>
            <a:ea typeface="+mn-ea"/>
            <a:cs typeface="+mn-cs"/>
          </a:endParaRPr>
        </a:p>
      </xdr:txBody>
    </xdr:sp>
    <xdr:clientData/>
  </xdr:twoCellAnchor>
  <xdr:twoCellAnchor>
    <xdr:from>
      <xdr:col>10</xdr:col>
      <xdr:colOff>285750</xdr:colOff>
      <xdr:row>25</xdr:row>
      <xdr:rowOff>155328</xdr:rowOff>
    </xdr:from>
    <xdr:to>
      <xdr:col>19</xdr:col>
      <xdr:colOff>411774</xdr:colOff>
      <xdr:row>36</xdr:row>
      <xdr:rowOff>190499</xdr:rowOff>
    </xdr:to>
    <xdr:sp macro="" textlink="">
      <xdr:nvSpPr>
        <xdr:cNvPr id="16" name="Rectangle: Rounded Corners 15">
          <a:extLst>
            <a:ext uri="{FF2B5EF4-FFF2-40B4-BE49-F238E27FC236}">
              <a16:creationId xmlns:a16="http://schemas.microsoft.com/office/drawing/2014/main" id="{7E12688E-44AB-428E-A348-6CFA82EE218B}"/>
            </a:ext>
          </a:extLst>
        </xdr:cNvPr>
        <xdr:cNvSpPr/>
      </xdr:nvSpPr>
      <xdr:spPr>
        <a:xfrm>
          <a:off x="6381750" y="4917828"/>
          <a:ext cx="5612424" cy="2130671"/>
        </a:xfrm>
        <a:prstGeom prst="roundRect">
          <a:avLst>
            <a:gd name="adj" fmla="val 4518"/>
          </a:avLst>
        </a:prstGeom>
        <a:solidFill>
          <a:schemeClr val="tx2">
            <a:lumMod val="20000"/>
            <a:lumOff val="80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US" sz="1600" b="1">
            <a:solidFill>
              <a:schemeClr val="lt1"/>
            </a:solidFill>
            <a:latin typeface="+mn-lt"/>
            <a:ea typeface="+mn-ea"/>
            <a:cs typeface="+mn-cs"/>
          </a:endParaRPr>
        </a:p>
      </xdr:txBody>
    </xdr:sp>
    <xdr:clientData/>
  </xdr:twoCellAnchor>
  <xdr:twoCellAnchor>
    <xdr:from>
      <xdr:col>5</xdr:col>
      <xdr:colOff>38100</xdr:colOff>
      <xdr:row>5</xdr:row>
      <xdr:rowOff>180974</xdr:rowOff>
    </xdr:from>
    <xdr:to>
      <xdr:col>7</xdr:col>
      <xdr:colOff>180975</xdr:colOff>
      <xdr:row>10</xdr:row>
      <xdr:rowOff>152399</xdr:rowOff>
    </xdr:to>
    <xdr:grpSp>
      <xdr:nvGrpSpPr>
        <xdr:cNvPr id="133" name="Group 132">
          <a:extLst>
            <a:ext uri="{FF2B5EF4-FFF2-40B4-BE49-F238E27FC236}">
              <a16:creationId xmlns:a16="http://schemas.microsoft.com/office/drawing/2014/main" id="{6C00834A-B09E-F0CD-4DD7-4AA2EAE75824}"/>
            </a:ext>
          </a:extLst>
        </xdr:cNvPr>
        <xdr:cNvGrpSpPr/>
      </xdr:nvGrpSpPr>
      <xdr:grpSpPr>
        <a:xfrm>
          <a:off x="3086100" y="1133474"/>
          <a:ext cx="1362075" cy="923925"/>
          <a:chOff x="1734401" y="1150100"/>
          <a:chExt cx="882161" cy="688732"/>
        </a:xfrm>
      </xdr:grpSpPr>
      <xdr:sp macro="[0]!Refresh" textlink="">
        <xdr:nvSpPr>
          <xdr:cNvPr id="7" name="Rectangle: Rounded Corners 6">
            <a:extLst>
              <a:ext uri="{FF2B5EF4-FFF2-40B4-BE49-F238E27FC236}">
                <a16:creationId xmlns:a16="http://schemas.microsoft.com/office/drawing/2014/main" id="{698F53F2-E2AA-421E-B3E1-C8C63286F475}"/>
              </a:ext>
            </a:extLst>
          </xdr:cNvPr>
          <xdr:cNvSpPr/>
        </xdr:nvSpPr>
        <xdr:spPr>
          <a:xfrm>
            <a:off x="1734401" y="1150100"/>
            <a:ext cx="882161" cy="688732"/>
          </a:xfrm>
          <a:prstGeom prst="roundRect">
            <a:avLst>
              <a:gd name="adj" fmla="val 4518"/>
            </a:avLst>
          </a:prstGeom>
          <a:solidFill>
            <a:schemeClr val="bg1">
              <a:lumMod val="95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600" b="1"/>
          </a:p>
        </xdr:txBody>
      </xdr:sp>
      <xdr:pic macro="[0]!Refresh">
        <xdr:nvPicPr>
          <xdr:cNvPr id="22" name="Picture 21">
            <a:extLst>
              <a:ext uri="{FF2B5EF4-FFF2-40B4-BE49-F238E27FC236}">
                <a16:creationId xmlns:a16="http://schemas.microsoft.com/office/drawing/2014/main" id="{92A84BF6-B816-49F4-18C5-9C3D390EA4CD}"/>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902072" y="1214022"/>
            <a:ext cx="565636" cy="564170"/>
          </a:xfrm>
          <a:prstGeom prst="rect">
            <a:avLst/>
          </a:prstGeom>
        </xdr:spPr>
      </xdr:pic>
    </xdr:grpSp>
    <xdr:clientData/>
  </xdr:twoCellAnchor>
  <xdr:twoCellAnchor>
    <xdr:from>
      <xdr:col>13</xdr:col>
      <xdr:colOff>409575</xdr:colOff>
      <xdr:row>5</xdr:row>
      <xdr:rowOff>133350</xdr:rowOff>
    </xdr:from>
    <xdr:to>
      <xdr:col>19</xdr:col>
      <xdr:colOff>152400</xdr:colOff>
      <xdr:row>10</xdr:row>
      <xdr:rowOff>133350</xdr:rowOff>
    </xdr:to>
    <xdr:grpSp>
      <xdr:nvGrpSpPr>
        <xdr:cNvPr id="130" name="Group 129">
          <a:extLst>
            <a:ext uri="{FF2B5EF4-FFF2-40B4-BE49-F238E27FC236}">
              <a16:creationId xmlns:a16="http://schemas.microsoft.com/office/drawing/2014/main" id="{2FBFCA1B-04DD-3CF5-F6EB-3E3E0B1D791B}"/>
            </a:ext>
          </a:extLst>
        </xdr:cNvPr>
        <xdr:cNvGrpSpPr/>
      </xdr:nvGrpSpPr>
      <xdr:grpSpPr>
        <a:xfrm>
          <a:off x="8334375" y="1085850"/>
          <a:ext cx="3400425" cy="952500"/>
          <a:chOff x="9516132" y="1159473"/>
          <a:chExt cx="2025868" cy="716019"/>
        </a:xfrm>
      </xdr:grpSpPr>
      <xdr:sp macro="" textlink="">
        <xdr:nvSpPr>
          <xdr:cNvPr id="18" name="Rectangle: Rounded Corners 17">
            <a:extLst>
              <a:ext uri="{FF2B5EF4-FFF2-40B4-BE49-F238E27FC236}">
                <a16:creationId xmlns:a16="http://schemas.microsoft.com/office/drawing/2014/main" id="{CF36F9E8-F096-4745-82CF-CD0FA5D22772}"/>
              </a:ext>
            </a:extLst>
          </xdr:cNvPr>
          <xdr:cNvSpPr/>
        </xdr:nvSpPr>
        <xdr:spPr>
          <a:xfrm>
            <a:off x="9516132" y="1159473"/>
            <a:ext cx="2025868" cy="716019"/>
          </a:xfrm>
          <a:prstGeom prst="roundRect">
            <a:avLst>
              <a:gd name="adj" fmla="val 4518"/>
            </a:avLst>
          </a:prstGeom>
          <a:solidFill>
            <a:schemeClr val="tx2">
              <a:lumMod val="20000"/>
              <a:lumOff val="80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600" b="1"/>
          </a:p>
        </xdr:txBody>
      </xdr:sp>
      <xdr:sp macro="" textlink="">
        <xdr:nvSpPr>
          <xdr:cNvPr id="24" name="TextBox 23">
            <a:extLst>
              <a:ext uri="{FF2B5EF4-FFF2-40B4-BE49-F238E27FC236}">
                <a16:creationId xmlns:a16="http://schemas.microsoft.com/office/drawing/2014/main" id="{BBFAB787-4633-482B-BEF5-16A18821CEA0}"/>
              </a:ext>
            </a:extLst>
          </xdr:cNvPr>
          <xdr:cNvSpPr txBox="1"/>
        </xdr:nvSpPr>
        <xdr:spPr>
          <a:xfrm>
            <a:off x="10362467" y="1187693"/>
            <a:ext cx="1153258" cy="29307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2000" b="1">
                <a:solidFill>
                  <a:schemeClr val="tx1">
                    <a:lumMod val="75000"/>
                    <a:lumOff val="25000"/>
                  </a:schemeClr>
                </a:solidFill>
              </a:rPr>
              <a:t>Total Profit</a:t>
            </a:r>
          </a:p>
        </xdr:txBody>
      </xdr:sp>
      <xdr:sp macro="" textlink="Pivot_tables!B9">
        <xdr:nvSpPr>
          <xdr:cNvPr id="27" name="TextBox 26">
            <a:extLst>
              <a:ext uri="{FF2B5EF4-FFF2-40B4-BE49-F238E27FC236}">
                <a16:creationId xmlns:a16="http://schemas.microsoft.com/office/drawing/2014/main" id="{352033A7-DF19-499E-950C-5D199D78F8D5}"/>
              </a:ext>
            </a:extLst>
          </xdr:cNvPr>
          <xdr:cNvSpPr txBox="1"/>
        </xdr:nvSpPr>
        <xdr:spPr>
          <a:xfrm>
            <a:off x="10255089" y="1511543"/>
            <a:ext cx="1167912" cy="23446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fld id="{2A515ECA-5EB3-4556-8A6C-D548CFCFA254}" type="TxLink">
              <a:rPr lang="en-US" sz="3200" b="1" i="0" u="none" strike="noStrike">
                <a:solidFill>
                  <a:srgbClr val="000000"/>
                </a:solidFill>
                <a:latin typeface="Calibri"/>
                <a:ea typeface="+mn-ea"/>
                <a:cs typeface="Calibri"/>
              </a:rPr>
              <a:pPr marL="0" indent="0"/>
              <a:t> 298 121 </a:t>
            </a:fld>
            <a:endParaRPr lang="en-US" sz="3200" b="1" i="0" u="none" strike="noStrike">
              <a:solidFill>
                <a:srgbClr val="000000"/>
              </a:solidFill>
              <a:latin typeface="Calibri"/>
              <a:ea typeface="+mn-ea"/>
              <a:cs typeface="Calibri"/>
            </a:endParaRPr>
          </a:p>
        </xdr:txBody>
      </xdr:sp>
      <xdr:pic>
        <xdr:nvPicPr>
          <xdr:cNvPr id="30" name="Picture 29">
            <a:extLst>
              <a:ext uri="{FF2B5EF4-FFF2-40B4-BE49-F238E27FC236}">
                <a16:creationId xmlns:a16="http://schemas.microsoft.com/office/drawing/2014/main" id="{27FDC75A-7606-6953-1F5C-C790AF18FB1C}"/>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9686925" y="1205706"/>
            <a:ext cx="391857" cy="390392"/>
          </a:xfrm>
          <a:prstGeom prst="rect">
            <a:avLst/>
          </a:prstGeom>
        </xdr:spPr>
      </xdr:pic>
    </xdr:grpSp>
    <xdr:clientData/>
  </xdr:twoCellAnchor>
  <xdr:twoCellAnchor>
    <xdr:from>
      <xdr:col>8</xdr:col>
      <xdr:colOff>28575</xdr:colOff>
      <xdr:row>5</xdr:row>
      <xdr:rowOff>126831</xdr:rowOff>
    </xdr:from>
    <xdr:to>
      <xdr:col>13</xdr:col>
      <xdr:colOff>307882</xdr:colOff>
      <xdr:row>10</xdr:row>
      <xdr:rowOff>152400</xdr:rowOff>
    </xdr:to>
    <xdr:sp macro="" textlink="">
      <xdr:nvSpPr>
        <xdr:cNvPr id="8" name="Rectangle: Rounded Corners 7">
          <a:extLst>
            <a:ext uri="{FF2B5EF4-FFF2-40B4-BE49-F238E27FC236}">
              <a16:creationId xmlns:a16="http://schemas.microsoft.com/office/drawing/2014/main" id="{BCAC84F8-2736-4E32-B8EF-445B498064C8}"/>
            </a:ext>
          </a:extLst>
        </xdr:cNvPr>
        <xdr:cNvSpPr/>
      </xdr:nvSpPr>
      <xdr:spPr>
        <a:xfrm>
          <a:off x="4905375" y="1079331"/>
          <a:ext cx="3327307" cy="978069"/>
        </a:xfrm>
        <a:prstGeom prst="roundRect">
          <a:avLst>
            <a:gd name="adj" fmla="val 4518"/>
          </a:avLst>
        </a:prstGeom>
        <a:solidFill>
          <a:schemeClr val="tx2">
            <a:lumMod val="20000"/>
            <a:lumOff val="80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600" b="1"/>
        </a:p>
      </xdr:txBody>
    </xdr:sp>
    <xdr:clientData/>
  </xdr:twoCellAnchor>
  <xdr:twoCellAnchor>
    <xdr:from>
      <xdr:col>9</xdr:col>
      <xdr:colOff>553116</xdr:colOff>
      <xdr:row>5</xdr:row>
      <xdr:rowOff>181927</xdr:rowOff>
    </xdr:from>
    <xdr:to>
      <xdr:col>13</xdr:col>
      <xdr:colOff>94144</xdr:colOff>
      <xdr:row>7</xdr:row>
      <xdr:rowOff>188281</xdr:rowOff>
    </xdr:to>
    <xdr:sp macro="" textlink="">
      <xdr:nvSpPr>
        <xdr:cNvPr id="23" name="TextBox 22">
          <a:extLst>
            <a:ext uri="{FF2B5EF4-FFF2-40B4-BE49-F238E27FC236}">
              <a16:creationId xmlns:a16="http://schemas.microsoft.com/office/drawing/2014/main" id="{84E176B0-2DEF-7775-FF2B-3F7924C4AF46}"/>
            </a:ext>
          </a:extLst>
        </xdr:cNvPr>
        <xdr:cNvSpPr txBox="1"/>
      </xdr:nvSpPr>
      <xdr:spPr>
        <a:xfrm>
          <a:off x="6039516" y="1134427"/>
          <a:ext cx="1979428" cy="38735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2000" b="1">
              <a:solidFill>
                <a:schemeClr val="tx1">
                  <a:lumMod val="75000"/>
                  <a:lumOff val="25000"/>
                </a:schemeClr>
              </a:solidFill>
            </a:rPr>
            <a:t>Total Sales</a:t>
          </a:r>
        </a:p>
      </xdr:txBody>
    </xdr:sp>
    <xdr:clientData/>
  </xdr:twoCellAnchor>
  <xdr:twoCellAnchor>
    <xdr:from>
      <xdr:col>9</xdr:col>
      <xdr:colOff>70686</xdr:colOff>
      <xdr:row>8</xdr:row>
      <xdr:rowOff>75254</xdr:rowOff>
    </xdr:from>
    <xdr:to>
      <xdr:col>13</xdr:col>
      <xdr:colOff>196478</xdr:colOff>
      <xdr:row>10</xdr:row>
      <xdr:rowOff>4137</xdr:rowOff>
    </xdr:to>
    <xdr:sp macro="" textlink="Pivot_tables!A9">
      <xdr:nvSpPr>
        <xdr:cNvPr id="26" name="TextBox 25">
          <a:extLst>
            <a:ext uri="{FF2B5EF4-FFF2-40B4-BE49-F238E27FC236}">
              <a16:creationId xmlns:a16="http://schemas.microsoft.com/office/drawing/2014/main" id="{F0666CF5-0AD4-DF7E-F62B-F8907447E018}"/>
            </a:ext>
          </a:extLst>
        </xdr:cNvPr>
        <xdr:cNvSpPr txBox="1"/>
      </xdr:nvSpPr>
      <xdr:spPr>
        <a:xfrm>
          <a:off x="5557086" y="1599254"/>
          <a:ext cx="2564192" cy="30988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D6AED8CA-782D-4638-B2AB-D506F88D4B1A}" type="TxLink">
            <a:rPr lang="en-US" sz="3200" b="1" i="0" u="none" strike="noStrike">
              <a:solidFill>
                <a:srgbClr val="000000"/>
              </a:solidFill>
              <a:latin typeface="Calibri"/>
              <a:ea typeface="+mn-ea"/>
              <a:cs typeface="Calibri"/>
            </a:rPr>
            <a:pPr marL="0" indent="0" algn="ctr"/>
            <a:t> 1 405 407 </a:t>
          </a:fld>
          <a:endParaRPr lang="en-US" sz="3200" b="1" i="0" u="none" strike="noStrike">
            <a:solidFill>
              <a:srgbClr val="000000"/>
            </a:solidFill>
            <a:latin typeface="Calibri"/>
            <a:ea typeface="+mn-ea"/>
            <a:cs typeface="Calibri"/>
          </a:endParaRPr>
        </a:p>
      </xdr:txBody>
    </xdr:sp>
    <xdr:clientData/>
  </xdr:twoCellAnchor>
  <xdr:twoCellAnchor>
    <xdr:from>
      <xdr:col>8</xdr:col>
      <xdr:colOff>128901</xdr:colOff>
      <xdr:row>5</xdr:row>
      <xdr:rowOff>123825</xdr:rowOff>
    </xdr:from>
    <xdr:to>
      <xdr:col>9</xdr:col>
      <xdr:colOff>436160</xdr:colOff>
      <xdr:row>8</xdr:row>
      <xdr:rowOff>157727</xdr:rowOff>
    </xdr:to>
    <xdr:pic>
      <xdr:nvPicPr>
        <xdr:cNvPr id="32" name="Picture 31">
          <a:extLst>
            <a:ext uri="{FF2B5EF4-FFF2-40B4-BE49-F238E27FC236}">
              <a16:creationId xmlns:a16="http://schemas.microsoft.com/office/drawing/2014/main" id="{3C52D124-5547-AC07-A620-FC1E514F70C1}"/>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flipH="1">
          <a:off x="5005701" y="1076325"/>
          <a:ext cx="916859" cy="605402"/>
        </a:xfrm>
        <a:prstGeom prst="rect">
          <a:avLst/>
        </a:prstGeom>
      </xdr:spPr>
    </xdr:pic>
    <xdr:clientData/>
  </xdr:twoCellAnchor>
  <xdr:twoCellAnchor>
    <xdr:from>
      <xdr:col>4</xdr:col>
      <xdr:colOff>371476</xdr:colOff>
      <xdr:row>11</xdr:row>
      <xdr:rowOff>183905</xdr:rowOff>
    </xdr:from>
    <xdr:to>
      <xdr:col>15</xdr:col>
      <xdr:colOff>305534</xdr:colOff>
      <xdr:row>25</xdr:row>
      <xdr:rowOff>133350</xdr:rowOff>
    </xdr:to>
    <xdr:graphicFrame macro="">
      <xdr:nvGraphicFramePr>
        <xdr:cNvPr id="35" name="Chart 34">
          <a:extLst>
            <a:ext uri="{FF2B5EF4-FFF2-40B4-BE49-F238E27FC236}">
              <a16:creationId xmlns:a16="http://schemas.microsoft.com/office/drawing/2014/main" id="{31C0E62D-1F77-46F1-9110-46D9D0A80FA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7</xdr:col>
      <xdr:colOff>494179</xdr:colOff>
      <xdr:row>11</xdr:row>
      <xdr:rowOff>63060</xdr:rowOff>
    </xdr:from>
    <xdr:to>
      <xdr:col>13</xdr:col>
      <xdr:colOff>348030</xdr:colOff>
      <xdr:row>12</xdr:row>
      <xdr:rowOff>83411</xdr:rowOff>
    </xdr:to>
    <xdr:sp macro="" textlink="">
      <xdr:nvSpPr>
        <xdr:cNvPr id="37" name="TextBox 36">
          <a:extLst>
            <a:ext uri="{FF2B5EF4-FFF2-40B4-BE49-F238E27FC236}">
              <a16:creationId xmlns:a16="http://schemas.microsoft.com/office/drawing/2014/main" id="{B8D97400-B61C-E9AE-3D17-78AF5F03B0FE}"/>
            </a:ext>
          </a:extLst>
        </xdr:cNvPr>
        <xdr:cNvSpPr txBox="1"/>
      </xdr:nvSpPr>
      <xdr:spPr>
        <a:xfrm>
          <a:off x="4761379" y="2158560"/>
          <a:ext cx="3511451" cy="21085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r>
            <a:rPr lang="en-US" sz="1800" b="1">
              <a:solidFill>
                <a:schemeClr val="tx1">
                  <a:lumMod val="75000"/>
                  <a:lumOff val="25000"/>
                </a:schemeClr>
              </a:solidFill>
              <a:latin typeface="+mn-lt"/>
              <a:ea typeface="+mn-ea"/>
              <a:cs typeface="+mn-cs"/>
            </a:rPr>
            <a:t>Monthly</a:t>
          </a:r>
          <a:r>
            <a:rPr lang="en-US" sz="2000" b="1">
              <a:solidFill>
                <a:schemeClr val="tx1">
                  <a:lumMod val="75000"/>
                  <a:lumOff val="25000"/>
                </a:schemeClr>
              </a:solidFill>
              <a:latin typeface="+mn-lt"/>
              <a:ea typeface="+mn-ea"/>
              <a:cs typeface="+mn-cs"/>
            </a:rPr>
            <a:t> Sales By Region</a:t>
          </a:r>
        </a:p>
      </xdr:txBody>
    </xdr:sp>
    <xdr:clientData/>
  </xdr:twoCellAnchor>
  <xdr:twoCellAnchor>
    <xdr:from>
      <xdr:col>16</xdr:col>
      <xdr:colOff>28575</xdr:colOff>
      <xdr:row>10</xdr:row>
      <xdr:rowOff>148003</xdr:rowOff>
    </xdr:from>
    <xdr:to>
      <xdr:col>25</xdr:col>
      <xdr:colOff>131886</xdr:colOff>
      <xdr:row>25</xdr:row>
      <xdr:rowOff>85725</xdr:rowOff>
    </xdr:to>
    <xdr:graphicFrame macro="">
      <xdr:nvGraphicFramePr>
        <xdr:cNvPr id="38" name="Chart 37">
          <a:extLst>
            <a:ext uri="{FF2B5EF4-FFF2-40B4-BE49-F238E27FC236}">
              <a16:creationId xmlns:a16="http://schemas.microsoft.com/office/drawing/2014/main" id="{73D207F2-1AB8-4E25-8527-DEB8372EF6E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18</xdr:col>
      <xdr:colOff>425921</xdr:colOff>
      <xdr:row>11</xdr:row>
      <xdr:rowOff>34486</xdr:rowOff>
    </xdr:from>
    <xdr:to>
      <xdr:col>24</xdr:col>
      <xdr:colOff>222007</xdr:colOff>
      <xdr:row>12</xdr:row>
      <xdr:rowOff>51042</xdr:rowOff>
    </xdr:to>
    <xdr:sp macro="" textlink="">
      <xdr:nvSpPr>
        <xdr:cNvPr id="39" name="TextBox 38">
          <a:extLst>
            <a:ext uri="{FF2B5EF4-FFF2-40B4-BE49-F238E27FC236}">
              <a16:creationId xmlns:a16="http://schemas.microsoft.com/office/drawing/2014/main" id="{92F51ED1-94FA-4A8F-96D0-33FCC551E071}"/>
            </a:ext>
          </a:extLst>
        </xdr:cNvPr>
        <xdr:cNvSpPr txBox="1"/>
      </xdr:nvSpPr>
      <xdr:spPr>
        <a:xfrm>
          <a:off x="11398721" y="2129986"/>
          <a:ext cx="3453686" cy="20705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r>
            <a:rPr lang="en-US" sz="2000" b="1">
              <a:solidFill>
                <a:schemeClr val="tx1">
                  <a:lumMod val="75000"/>
                  <a:lumOff val="25000"/>
                </a:schemeClr>
              </a:solidFill>
              <a:latin typeface="+mn-lt"/>
              <a:ea typeface="+mn-ea"/>
              <a:cs typeface="+mn-cs"/>
            </a:rPr>
            <a:t>Top 10 Sold Products</a:t>
          </a:r>
          <a:endParaRPr lang="en-US" sz="2400" b="1">
            <a:solidFill>
              <a:schemeClr val="tx1">
                <a:lumMod val="75000"/>
                <a:lumOff val="25000"/>
              </a:schemeClr>
            </a:solidFill>
            <a:latin typeface="+mn-lt"/>
            <a:ea typeface="+mn-ea"/>
            <a:cs typeface="+mn-cs"/>
          </a:endParaRPr>
        </a:p>
      </xdr:txBody>
    </xdr:sp>
    <xdr:clientData/>
  </xdr:twoCellAnchor>
  <xdr:twoCellAnchor>
    <xdr:from>
      <xdr:col>25</xdr:col>
      <xdr:colOff>133349</xdr:colOff>
      <xdr:row>5</xdr:row>
      <xdr:rowOff>143709</xdr:rowOff>
    </xdr:from>
    <xdr:to>
      <xdr:col>28</xdr:col>
      <xdr:colOff>238124</xdr:colOff>
      <xdr:row>25</xdr:row>
      <xdr:rowOff>57150</xdr:rowOff>
    </xdr:to>
    <xdr:grpSp>
      <xdr:nvGrpSpPr>
        <xdr:cNvPr id="121" name="Group 120">
          <a:extLst>
            <a:ext uri="{FF2B5EF4-FFF2-40B4-BE49-F238E27FC236}">
              <a16:creationId xmlns:a16="http://schemas.microsoft.com/office/drawing/2014/main" id="{B4C68D3B-1FAC-CD1D-B718-C99F9CFA0A7F}"/>
            </a:ext>
          </a:extLst>
        </xdr:cNvPr>
        <xdr:cNvGrpSpPr/>
      </xdr:nvGrpSpPr>
      <xdr:grpSpPr>
        <a:xfrm>
          <a:off x="15373349" y="1096209"/>
          <a:ext cx="1933575" cy="3723441"/>
          <a:chOff x="8945971" y="1153359"/>
          <a:chExt cx="1497439" cy="2905757"/>
        </a:xfrm>
      </xdr:grpSpPr>
      <xdr:sp macro="" textlink="">
        <xdr:nvSpPr>
          <xdr:cNvPr id="12" name="Rectangle: Rounded Corners 11">
            <a:extLst>
              <a:ext uri="{FF2B5EF4-FFF2-40B4-BE49-F238E27FC236}">
                <a16:creationId xmlns:a16="http://schemas.microsoft.com/office/drawing/2014/main" id="{A7841FA9-06C0-4226-9DAA-92B7A6EE5AA3}"/>
              </a:ext>
            </a:extLst>
          </xdr:cNvPr>
          <xdr:cNvSpPr/>
        </xdr:nvSpPr>
        <xdr:spPr>
          <a:xfrm>
            <a:off x="8945971" y="1153359"/>
            <a:ext cx="1380393" cy="2905757"/>
          </a:xfrm>
          <a:prstGeom prst="roundRect">
            <a:avLst>
              <a:gd name="adj" fmla="val 4518"/>
            </a:avLst>
          </a:prstGeom>
          <a:solidFill>
            <a:schemeClr val="tx2">
              <a:lumMod val="20000"/>
              <a:lumOff val="80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US" sz="1600" b="1">
              <a:solidFill>
                <a:schemeClr val="lt1"/>
              </a:solidFill>
              <a:latin typeface="+mn-lt"/>
              <a:ea typeface="+mn-ea"/>
              <a:cs typeface="+mn-cs"/>
            </a:endParaRPr>
          </a:p>
        </xdr:txBody>
      </xdr:sp>
      <xdr:sp macro="" textlink="">
        <xdr:nvSpPr>
          <xdr:cNvPr id="40" name="TextBox 39">
            <a:extLst>
              <a:ext uri="{FF2B5EF4-FFF2-40B4-BE49-F238E27FC236}">
                <a16:creationId xmlns:a16="http://schemas.microsoft.com/office/drawing/2014/main" id="{5D9460D7-19C5-484F-BE19-FEDCDB24B09B}"/>
              </a:ext>
            </a:extLst>
          </xdr:cNvPr>
          <xdr:cNvSpPr txBox="1"/>
        </xdr:nvSpPr>
        <xdr:spPr>
          <a:xfrm>
            <a:off x="8962501" y="1223597"/>
            <a:ext cx="1480909" cy="31076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r>
              <a:rPr lang="en-US" sz="1800" b="1">
                <a:solidFill>
                  <a:schemeClr val="tx1">
                    <a:lumMod val="75000"/>
                    <a:lumOff val="25000"/>
                  </a:schemeClr>
                </a:solidFill>
                <a:latin typeface="+mn-lt"/>
                <a:ea typeface="+mn-ea"/>
                <a:cs typeface="+mn-cs"/>
              </a:rPr>
              <a:t>Top 5 Customers</a:t>
            </a:r>
          </a:p>
        </xdr:txBody>
      </xdr:sp>
      <xdr:sp macro="" textlink="">
        <xdr:nvSpPr>
          <xdr:cNvPr id="42" name="Flowchart: Connector 41">
            <a:extLst>
              <a:ext uri="{FF2B5EF4-FFF2-40B4-BE49-F238E27FC236}">
                <a16:creationId xmlns:a16="http://schemas.microsoft.com/office/drawing/2014/main" id="{9F488D64-F6FE-7E0F-3AE6-201DC75115D9}"/>
              </a:ext>
            </a:extLst>
          </xdr:cNvPr>
          <xdr:cNvSpPr/>
        </xdr:nvSpPr>
        <xdr:spPr>
          <a:xfrm>
            <a:off x="9015779" y="1567961"/>
            <a:ext cx="458666" cy="457200"/>
          </a:xfrm>
          <a:prstGeom prst="flowChartConnector">
            <a:avLst/>
          </a:prstGeom>
          <a:solidFill>
            <a:srgbClr val="758D67"/>
          </a:solidFill>
        </xdr:spPr>
        <xdr:style>
          <a:lnRef idx="0">
            <a:schemeClr val="accent6"/>
          </a:lnRef>
          <a:fillRef idx="3">
            <a:schemeClr val="accent6"/>
          </a:fillRef>
          <a:effectRef idx="3">
            <a:schemeClr val="accent6"/>
          </a:effectRef>
          <a:fontRef idx="minor">
            <a:schemeClr val="lt1"/>
          </a:fontRef>
        </xdr:style>
        <xdr:txBody>
          <a:bodyPr vertOverflow="clip" horzOverflow="clip" rtlCol="0" anchor="ctr"/>
          <a:lstStyle/>
          <a:p>
            <a:pPr algn="ctr"/>
            <a:r>
              <a:rPr lang="en-US" sz="2400" b="1">
                <a:ln>
                  <a:solidFill>
                    <a:srgbClr val="FFFF00"/>
                  </a:solidFill>
                </a:ln>
                <a:solidFill>
                  <a:srgbClr val="FFFF00"/>
                </a:solidFill>
              </a:rPr>
              <a:t>1</a:t>
            </a:r>
          </a:p>
        </xdr:txBody>
      </xdr:sp>
      <xdr:sp macro="" textlink="">
        <xdr:nvSpPr>
          <xdr:cNvPr id="43" name="Flowchart: Connector 42">
            <a:extLst>
              <a:ext uri="{FF2B5EF4-FFF2-40B4-BE49-F238E27FC236}">
                <a16:creationId xmlns:a16="http://schemas.microsoft.com/office/drawing/2014/main" id="{B5B82D25-A67F-4A5D-8BDC-D89AB4992E47}"/>
              </a:ext>
            </a:extLst>
          </xdr:cNvPr>
          <xdr:cNvSpPr/>
        </xdr:nvSpPr>
        <xdr:spPr>
          <a:xfrm>
            <a:off x="9015779" y="2063261"/>
            <a:ext cx="458666" cy="457200"/>
          </a:xfrm>
          <a:prstGeom prst="flowChartConnector">
            <a:avLst/>
          </a:prstGeom>
          <a:solidFill>
            <a:srgbClr val="758D67"/>
          </a:solidFill>
        </xdr:spPr>
        <xdr:style>
          <a:lnRef idx="0">
            <a:schemeClr val="accent6"/>
          </a:lnRef>
          <a:fillRef idx="3">
            <a:schemeClr val="accent6"/>
          </a:fillRef>
          <a:effectRef idx="3">
            <a:schemeClr val="accent6"/>
          </a:effectRef>
          <a:fontRef idx="minor">
            <a:schemeClr val="lt1"/>
          </a:fontRef>
        </xdr:style>
        <xdr:txBody>
          <a:bodyPr vertOverflow="clip" horzOverflow="clip" rtlCol="0" anchor="t"/>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2400" b="1" i="0" u="none" strike="noStrike" kern="0" cap="none" spc="0" normalizeH="0" baseline="0" noProof="0">
                <a:ln>
                  <a:solidFill>
                    <a:srgbClr val="FFFF00"/>
                  </a:solidFill>
                </a:ln>
                <a:solidFill>
                  <a:srgbClr val="FFFF00"/>
                </a:solidFill>
                <a:effectLst/>
                <a:uLnTx/>
                <a:uFillTx/>
                <a:latin typeface="+mn-lt"/>
                <a:ea typeface="+mn-ea"/>
                <a:cs typeface="+mn-cs"/>
              </a:rPr>
              <a:t>2</a:t>
            </a:r>
          </a:p>
          <a:p>
            <a:pPr algn="l"/>
            <a:endParaRPr lang="en-US" sz="1600" b="1"/>
          </a:p>
        </xdr:txBody>
      </xdr:sp>
      <xdr:sp macro="" textlink="">
        <xdr:nvSpPr>
          <xdr:cNvPr id="44" name="Flowchart: Connector 43">
            <a:extLst>
              <a:ext uri="{FF2B5EF4-FFF2-40B4-BE49-F238E27FC236}">
                <a16:creationId xmlns:a16="http://schemas.microsoft.com/office/drawing/2014/main" id="{D7CD56F2-4A97-4DB8-B876-686C319D483F}"/>
              </a:ext>
            </a:extLst>
          </xdr:cNvPr>
          <xdr:cNvSpPr/>
        </xdr:nvSpPr>
        <xdr:spPr>
          <a:xfrm>
            <a:off x="9015779" y="2558561"/>
            <a:ext cx="458666" cy="457200"/>
          </a:xfrm>
          <a:prstGeom prst="flowChartConnector">
            <a:avLst/>
          </a:prstGeom>
          <a:solidFill>
            <a:srgbClr val="758D67"/>
          </a:solidFill>
        </xdr:spPr>
        <xdr:style>
          <a:lnRef idx="0">
            <a:schemeClr val="accent6"/>
          </a:lnRef>
          <a:fillRef idx="3">
            <a:schemeClr val="accent6"/>
          </a:fillRef>
          <a:effectRef idx="3">
            <a:schemeClr val="accent6"/>
          </a:effectRef>
          <a:fontRef idx="minor">
            <a:schemeClr val="lt1"/>
          </a:fontRef>
        </xdr:style>
        <xdr:txBody>
          <a:bodyPr vertOverflow="clip" horzOverflow="clip" rtlCol="0" anchor="t"/>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2400" b="1" i="0" u="none" strike="noStrike" kern="0" cap="none" spc="0" normalizeH="0" baseline="0" noProof="0">
                <a:ln>
                  <a:solidFill>
                    <a:srgbClr val="FFFF00"/>
                  </a:solidFill>
                </a:ln>
                <a:solidFill>
                  <a:srgbClr val="FFFF00"/>
                </a:solidFill>
                <a:effectLst/>
                <a:uLnTx/>
                <a:uFillTx/>
                <a:latin typeface="+mn-lt"/>
                <a:ea typeface="+mn-ea"/>
                <a:cs typeface="+mn-cs"/>
              </a:rPr>
              <a:t>3</a:t>
            </a:r>
          </a:p>
        </xdr:txBody>
      </xdr:sp>
      <xdr:sp macro="" textlink="">
        <xdr:nvSpPr>
          <xdr:cNvPr id="45" name="Flowchart: Connector 44">
            <a:extLst>
              <a:ext uri="{FF2B5EF4-FFF2-40B4-BE49-F238E27FC236}">
                <a16:creationId xmlns:a16="http://schemas.microsoft.com/office/drawing/2014/main" id="{D51D7A53-07CD-44AB-B119-9F7C587D0737}"/>
              </a:ext>
            </a:extLst>
          </xdr:cNvPr>
          <xdr:cNvSpPr/>
        </xdr:nvSpPr>
        <xdr:spPr>
          <a:xfrm>
            <a:off x="9015779" y="3053861"/>
            <a:ext cx="458666" cy="457200"/>
          </a:xfrm>
          <a:prstGeom prst="flowChartConnector">
            <a:avLst/>
          </a:prstGeom>
          <a:solidFill>
            <a:srgbClr val="758D67"/>
          </a:solidFill>
        </xdr:spPr>
        <xdr:style>
          <a:lnRef idx="0">
            <a:schemeClr val="accent6"/>
          </a:lnRef>
          <a:fillRef idx="3">
            <a:schemeClr val="accent6"/>
          </a:fillRef>
          <a:effectRef idx="3">
            <a:schemeClr val="accent6"/>
          </a:effectRef>
          <a:fontRef idx="minor">
            <a:schemeClr val="lt1"/>
          </a:fontRef>
        </xdr:style>
        <xdr:txBody>
          <a:bodyPr vertOverflow="clip" horzOverflow="clip" rtlCol="0" anchor="t"/>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2400" b="1" i="0" u="none" strike="noStrike" kern="0" cap="none" spc="0" normalizeH="0" baseline="0" noProof="0">
                <a:ln>
                  <a:solidFill>
                    <a:srgbClr val="FFFF00"/>
                  </a:solidFill>
                </a:ln>
                <a:solidFill>
                  <a:srgbClr val="FFFF00"/>
                </a:solidFill>
                <a:effectLst/>
                <a:uLnTx/>
                <a:uFillTx/>
                <a:latin typeface="+mn-lt"/>
                <a:ea typeface="+mn-ea"/>
                <a:cs typeface="+mn-cs"/>
              </a:rPr>
              <a:t>4</a:t>
            </a:r>
          </a:p>
        </xdr:txBody>
      </xdr:sp>
      <xdr:sp macro="" textlink="">
        <xdr:nvSpPr>
          <xdr:cNvPr id="46" name="Flowchart: Connector 45">
            <a:extLst>
              <a:ext uri="{FF2B5EF4-FFF2-40B4-BE49-F238E27FC236}">
                <a16:creationId xmlns:a16="http://schemas.microsoft.com/office/drawing/2014/main" id="{3D71C8E6-6A4C-42F2-B0F3-3238747D2AE9}"/>
              </a:ext>
            </a:extLst>
          </xdr:cNvPr>
          <xdr:cNvSpPr/>
        </xdr:nvSpPr>
        <xdr:spPr>
          <a:xfrm>
            <a:off x="9015779" y="3549162"/>
            <a:ext cx="458666" cy="457200"/>
          </a:xfrm>
          <a:prstGeom prst="flowChartConnector">
            <a:avLst/>
          </a:prstGeom>
          <a:solidFill>
            <a:srgbClr val="758D67"/>
          </a:solidFill>
        </xdr:spPr>
        <xdr:style>
          <a:lnRef idx="0">
            <a:schemeClr val="accent6"/>
          </a:lnRef>
          <a:fillRef idx="3">
            <a:schemeClr val="accent6"/>
          </a:fillRef>
          <a:effectRef idx="3">
            <a:schemeClr val="accent6"/>
          </a:effectRef>
          <a:fontRef idx="minor">
            <a:schemeClr val="lt1"/>
          </a:fontRef>
        </xdr:style>
        <xdr:txBody>
          <a:bodyPr vertOverflow="clip" horzOverflow="clip" rtlCol="0" anchor="t"/>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2400" b="1" i="0" u="none" strike="noStrike" kern="0" cap="none" spc="0" normalizeH="0" baseline="0" noProof="0">
                <a:ln>
                  <a:solidFill>
                    <a:srgbClr val="FFFF00"/>
                  </a:solidFill>
                </a:ln>
                <a:solidFill>
                  <a:srgbClr val="FFFF00"/>
                </a:solidFill>
                <a:effectLst/>
                <a:uLnTx/>
                <a:uFillTx/>
                <a:latin typeface="+mn-lt"/>
                <a:ea typeface="+mn-ea"/>
                <a:cs typeface="+mn-cs"/>
              </a:rPr>
              <a:t>5</a:t>
            </a:r>
          </a:p>
        </xdr:txBody>
      </xdr:sp>
      <xdr:sp macro="" textlink="Pivot_tables!J11">
        <xdr:nvSpPr>
          <xdr:cNvPr id="50" name="TextBox 49">
            <a:extLst>
              <a:ext uri="{FF2B5EF4-FFF2-40B4-BE49-F238E27FC236}">
                <a16:creationId xmlns:a16="http://schemas.microsoft.com/office/drawing/2014/main" id="{78B04A04-F2DB-E8E2-39DF-6721695CB338}"/>
              </a:ext>
            </a:extLst>
          </xdr:cNvPr>
          <xdr:cNvSpPr txBox="1"/>
        </xdr:nvSpPr>
        <xdr:spPr>
          <a:xfrm>
            <a:off x="9496225" y="1538654"/>
            <a:ext cx="756138" cy="29307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B8E8DD0F-68DD-4629-8B0F-502B6B620A4B}" type="TxLink">
              <a:rPr lang="en-US" sz="1600" b="1" i="0" u="none" strike="noStrike">
                <a:solidFill>
                  <a:srgbClr val="758D67"/>
                </a:solidFill>
                <a:latin typeface="Calibri"/>
                <a:cs typeface="Calibri"/>
              </a:rPr>
              <a:pPr/>
              <a:t>StarMall</a:t>
            </a:fld>
            <a:endParaRPr lang="en-US" sz="1600" b="1">
              <a:solidFill>
                <a:srgbClr val="758D67"/>
              </a:solidFill>
            </a:endParaRPr>
          </a:p>
        </xdr:txBody>
      </xdr:sp>
      <xdr:sp macro="" textlink="Pivot_tables!K11">
        <xdr:nvSpPr>
          <xdr:cNvPr id="51" name="TextBox 50">
            <a:extLst>
              <a:ext uri="{FF2B5EF4-FFF2-40B4-BE49-F238E27FC236}">
                <a16:creationId xmlns:a16="http://schemas.microsoft.com/office/drawing/2014/main" id="{CAFD6912-2ECC-02CC-EA68-1B91C0DE5363}"/>
              </a:ext>
            </a:extLst>
          </xdr:cNvPr>
          <xdr:cNvSpPr txBox="1"/>
        </xdr:nvSpPr>
        <xdr:spPr>
          <a:xfrm>
            <a:off x="9474244" y="1699847"/>
            <a:ext cx="770792" cy="20515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675D2482-519B-4537-B8F7-76FA33BAF77C}" type="TxLink">
              <a:rPr lang="en-US" sz="1800" b="1" i="0" u="none" strike="noStrike">
                <a:solidFill>
                  <a:sysClr val="windowText" lastClr="000000"/>
                </a:solidFill>
                <a:latin typeface="Calibri"/>
                <a:cs typeface="Calibri"/>
              </a:rPr>
              <a:pPr/>
              <a:t> 328 292 </a:t>
            </a:fld>
            <a:endParaRPr lang="en-US" sz="1800" b="1">
              <a:solidFill>
                <a:sysClr val="windowText" lastClr="000000"/>
              </a:solidFill>
            </a:endParaRPr>
          </a:p>
        </xdr:txBody>
      </xdr:sp>
      <xdr:sp macro="" textlink="Pivot_tables!J12">
        <xdr:nvSpPr>
          <xdr:cNvPr id="52" name="TextBox 51">
            <a:extLst>
              <a:ext uri="{FF2B5EF4-FFF2-40B4-BE49-F238E27FC236}">
                <a16:creationId xmlns:a16="http://schemas.microsoft.com/office/drawing/2014/main" id="{8FDA9707-33E1-43A2-BF28-EAE4D5E34AC0}"/>
              </a:ext>
            </a:extLst>
          </xdr:cNvPr>
          <xdr:cNvSpPr txBox="1"/>
        </xdr:nvSpPr>
        <xdr:spPr>
          <a:xfrm>
            <a:off x="9496225" y="2076552"/>
            <a:ext cx="756138" cy="29307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fld id="{6AEE800D-3C6D-43F5-8351-D01BF2673648}" type="TxLink">
              <a:rPr lang="en-US" sz="1400" b="1" i="0" u="none" strike="noStrike">
                <a:solidFill>
                  <a:srgbClr val="758D67"/>
                </a:solidFill>
                <a:latin typeface="Calibri"/>
                <a:ea typeface="+mn-ea"/>
                <a:cs typeface="Calibri"/>
              </a:rPr>
              <a:pPr marL="0" indent="0"/>
              <a:t>Shopper's Hub</a:t>
            </a:fld>
            <a:endParaRPr lang="en-US" sz="1400" b="1" i="0" u="none" strike="noStrike">
              <a:solidFill>
                <a:srgbClr val="758D67"/>
              </a:solidFill>
              <a:latin typeface="Calibri"/>
              <a:ea typeface="+mn-ea"/>
              <a:cs typeface="Calibri"/>
            </a:endParaRPr>
          </a:p>
        </xdr:txBody>
      </xdr:sp>
      <xdr:sp macro="" textlink="Pivot_tables!K12">
        <xdr:nvSpPr>
          <xdr:cNvPr id="53" name="TextBox 52">
            <a:extLst>
              <a:ext uri="{FF2B5EF4-FFF2-40B4-BE49-F238E27FC236}">
                <a16:creationId xmlns:a16="http://schemas.microsoft.com/office/drawing/2014/main" id="{D6EF1A77-CE35-4829-8B79-F89994819106}"/>
              </a:ext>
            </a:extLst>
          </xdr:cNvPr>
          <xdr:cNvSpPr txBox="1"/>
        </xdr:nvSpPr>
        <xdr:spPr>
          <a:xfrm>
            <a:off x="9496225" y="2237745"/>
            <a:ext cx="770792" cy="20515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fld id="{6D37DBEE-82A6-4FB0-8285-B714ED7D4CCA}" type="TxLink">
              <a:rPr lang="en-US" sz="1800" b="1" i="0" u="none" strike="noStrike">
                <a:solidFill>
                  <a:sysClr val="windowText" lastClr="000000"/>
                </a:solidFill>
                <a:latin typeface="Calibri"/>
                <a:ea typeface="+mn-ea"/>
                <a:cs typeface="Calibri"/>
              </a:rPr>
              <a:pPr marL="0" indent="0"/>
              <a:t> 292 293 </a:t>
            </a:fld>
            <a:endParaRPr lang="en-US" sz="1800" b="1" i="0" u="none" strike="noStrike">
              <a:solidFill>
                <a:sysClr val="windowText" lastClr="000000"/>
              </a:solidFill>
              <a:latin typeface="Calibri"/>
              <a:ea typeface="+mn-ea"/>
              <a:cs typeface="Calibri"/>
            </a:endParaRPr>
          </a:p>
        </xdr:txBody>
      </xdr:sp>
      <xdr:sp macro="" textlink="Pivot_tables!J13">
        <xdr:nvSpPr>
          <xdr:cNvPr id="54" name="TextBox 53">
            <a:extLst>
              <a:ext uri="{FF2B5EF4-FFF2-40B4-BE49-F238E27FC236}">
                <a16:creationId xmlns:a16="http://schemas.microsoft.com/office/drawing/2014/main" id="{0BF01534-EFDF-4C88-9EF9-2CF01979D10E}"/>
              </a:ext>
            </a:extLst>
          </xdr:cNvPr>
          <xdr:cNvSpPr txBox="1"/>
        </xdr:nvSpPr>
        <xdr:spPr>
          <a:xfrm>
            <a:off x="9496225" y="2544010"/>
            <a:ext cx="756138" cy="29307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fld id="{7E4883E7-5A5B-46B1-9D9A-F9360A2650CF}" type="TxLink">
              <a:rPr lang="en-US" sz="1600" b="1" i="0" u="none" strike="noStrike">
                <a:solidFill>
                  <a:srgbClr val="758D67"/>
                </a:solidFill>
                <a:latin typeface="Calibri"/>
                <a:ea typeface="+mn-ea"/>
                <a:cs typeface="Calibri"/>
              </a:rPr>
              <a:pPr marL="0" indent="0"/>
              <a:t>AliTech</a:t>
            </a:fld>
            <a:endParaRPr lang="en-US" sz="1600" b="1" i="0" u="none" strike="noStrike">
              <a:solidFill>
                <a:srgbClr val="758D67"/>
              </a:solidFill>
              <a:latin typeface="Calibri"/>
              <a:ea typeface="+mn-ea"/>
              <a:cs typeface="Calibri"/>
            </a:endParaRPr>
          </a:p>
        </xdr:txBody>
      </xdr:sp>
      <xdr:sp macro="" textlink="Pivot_tables!K13">
        <xdr:nvSpPr>
          <xdr:cNvPr id="55" name="TextBox 54">
            <a:extLst>
              <a:ext uri="{FF2B5EF4-FFF2-40B4-BE49-F238E27FC236}">
                <a16:creationId xmlns:a16="http://schemas.microsoft.com/office/drawing/2014/main" id="{DD2F5589-E8A8-4008-83B1-C267EBE3FD7E}"/>
              </a:ext>
            </a:extLst>
          </xdr:cNvPr>
          <xdr:cNvSpPr txBox="1"/>
        </xdr:nvSpPr>
        <xdr:spPr>
          <a:xfrm>
            <a:off x="9466917" y="2727184"/>
            <a:ext cx="770792" cy="20515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fld id="{C78B5B41-FBD3-44DE-A988-435E032CC83F}" type="TxLink">
              <a:rPr lang="en-US" sz="1800" b="1" i="0" u="none" strike="noStrike">
                <a:solidFill>
                  <a:sysClr val="windowText" lastClr="000000"/>
                </a:solidFill>
                <a:latin typeface="Calibri"/>
                <a:ea typeface="+mn-ea"/>
                <a:cs typeface="Calibri"/>
              </a:rPr>
              <a:pPr marL="0" indent="0"/>
              <a:t> 269 315 </a:t>
            </a:fld>
            <a:endParaRPr lang="en-US" sz="1800" b="1" i="0" u="none" strike="noStrike">
              <a:solidFill>
                <a:sysClr val="windowText" lastClr="000000"/>
              </a:solidFill>
              <a:latin typeface="Calibri"/>
              <a:ea typeface="+mn-ea"/>
              <a:cs typeface="Calibri"/>
            </a:endParaRPr>
          </a:p>
        </xdr:txBody>
      </xdr:sp>
      <xdr:sp macro="" textlink="Pivot_tables!J14">
        <xdr:nvSpPr>
          <xdr:cNvPr id="56" name="TextBox 55">
            <a:extLst>
              <a:ext uri="{FF2B5EF4-FFF2-40B4-BE49-F238E27FC236}">
                <a16:creationId xmlns:a16="http://schemas.microsoft.com/office/drawing/2014/main" id="{667454FC-E696-4A02-A9F7-79493E668E18}"/>
              </a:ext>
            </a:extLst>
          </xdr:cNvPr>
          <xdr:cNvSpPr txBox="1"/>
        </xdr:nvSpPr>
        <xdr:spPr>
          <a:xfrm>
            <a:off x="9496225" y="3062755"/>
            <a:ext cx="756138" cy="29307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fld id="{1B4ABE36-62D7-4570-AACE-9DAE3BC80348}" type="TxLink">
              <a:rPr lang="en-US" sz="1600" b="1" i="0" u="none" strike="noStrike">
                <a:solidFill>
                  <a:srgbClr val="758D67"/>
                </a:solidFill>
                <a:latin typeface="Calibri"/>
                <a:ea typeface="+mn-ea"/>
                <a:cs typeface="Calibri"/>
              </a:rPr>
              <a:pPr marL="0" indent="0"/>
              <a:t>TechMart</a:t>
            </a:fld>
            <a:endParaRPr lang="en-US" sz="1600" b="1" i="0" u="none" strike="noStrike">
              <a:solidFill>
                <a:srgbClr val="758D67"/>
              </a:solidFill>
              <a:latin typeface="Calibri"/>
              <a:ea typeface="+mn-ea"/>
              <a:cs typeface="Calibri"/>
            </a:endParaRPr>
          </a:p>
        </xdr:txBody>
      </xdr:sp>
      <xdr:sp macro="" textlink="Pivot_tables!K14">
        <xdr:nvSpPr>
          <xdr:cNvPr id="57" name="TextBox 56">
            <a:extLst>
              <a:ext uri="{FF2B5EF4-FFF2-40B4-BE49-F238E27FC236}">
                <a16:creationId xmlns:a16="http://schemas.microsoft.com/office/drawing/2014/main" id="{213CBA75-22E1-4B87-90DE-5D9DE8DDF31A}"/>
              </a:ext>
            </a:extLst>
          </xdr:cNvPr>
          <xdr:cNvSpPr txBox="1"/>
        </xdr:nvSpPr>
        <xdr:spPr>
          <a:xfrm>
            <a:off x="9474244" y="3223948"/>
            <a:ext cx="770792" cy="20515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fld id="{0428B42E-398E-4908-BB13-9F5DD190589A}" type="TxLink">
              <a:rPr lang="en-US" sz="1800" b="1" i="0" u="none" strike="noStrike">
                <a:solidFill>
                  <a:sysClr val="windowText" lastClr="000000"/>
                </a:solidFill>
                <a:latin typeface="Calibri"/>
                <a:ea typeface="+mn-ea"/>
                <a:cs typeface="Calibri"/>
              </a:rPr>
              <a:pPr marL="0" indent="0"/>
              <a:t> 196 106 </a:t>
            </a:fld>
            <a:endParaRPr lang="en-US" sz="1800" b="1" i="0" u="none" strike="noStrike">
              <a:solidFill>
                <a:sysClr val="windowText" lastClr="000000"/>
              </a:solidFill>
              <a:latin typeface="Calibri"/>
              <a:ea typeface="+mn-ea"/>
              <a:cs typeface="Calibri"/>
            </a:endParaRPr>
          </a:p>
        </xdr:txBody>
      </xdr:sp>
      <xdr:sp macro="" textlink="Pivot_tables!J15">
        <xdr:nvSpPr>
          <xdr:cNvPr id="58" name="TextBox 57">
            <a:extLst>
              <a:ext uri="{FF2B5EF4-FFF2-40B4-BE49-F238E27FC236}">
                <a16:creationId xmlns:a16="http://schemas.microsoft.com/office/drawing/2014/main" id="{CE7451D1-1E1A-4A88-9B25-027FF9104305}"/>
              </a:ext>
            </a:extLst>
          </xdr:cNvPr>
          <xdr:cNvSpPr txBox="1"/>
        </xdr:nvSpPr>
        <xdr:spPr>
          <a:xfrm>
            <a:off x="9496225" y="3559521"/>
            <a:ext cx="756138" cy="29307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fld id="{9DD0D139-DB5B-4BF2-94A4-8F0F01C08808}" type="TxLink">
              <a:rPr lang="en-US" sz="1600" b="1" i="0" u="none" strike="noStrike">
                <a:solidFill>
                  <a:srgbClr val="758D67"/>
                </a:solidFill>
                <a:latin typeface="Calibri"/>
                <a:ea typeface="+mn-ea"/>
                <a:cs typeface="Calibri"/>
              </a:rPr>
              <a:pPr marL="0" indent="0"/>
              <a:t>CityEssentials</a:t>
            </a:fld>
            <a:endParaRPr lang="en-US" sz="1600" b="1" i="0" u="none" strike="noStrike">
              <a:solidFill>
                <a:srgbClr val="758D67"/>
              </a:solidFill>
              <a:latin typeface="Calibri"/>
              <a:ea typeface="+mn-ea"/>
              <a:cs typeface="Calibri"/>
            </a:endParaRPr>
          </a:p>
        </xdr:txBody>
      </xdr:sp>
      <xdr:sp macro="" textlink="Pivot_tables!K15">
        <xdr:nvSpPr>
          <xdr:cNvPr id="59" name="TextBox 58">
            <a:extLst>
              <a:ext uri="{FF2B5EF4-FFF2-40B4-BE49-F238E27FC236}">
                <a16:creationId xmlns:a16="http://schemas.microsoft.com/office/drawing/2014/main" id="{43883D85-BA54-49B1-9618-4B26B80363F2}"/>
              </a:ext>
            </a:extLst>
          </xdr:cNvPr>
          <xdr:cNvSpPr txBox="1"/>
        </xdr:nvSpPr>
        <xdr:spPr>
          <a:xfrm>
            <a:off x="9503552" y="3728042"/>
            <a:ext cx="770792" cy="20515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fld id="{C9D471B9-17F8-45EF-BD61-9AB34B435D86}" type="TxLink">
              <a:rPr lang="en-US" sz="1800" b="1" i="0" u="none" strike="noStrike">
                <a:solidFill>
                  <a:sysClr val="windowText" lastClr="000000"/>
                </a:solidFill>
                <a:latin typeface="Calibri"/>
                <a:ea typeface="+mn-ea"/>
                <a:cs typeface="Calibri"/>
              </a:rPr>
              <a:pPr marL="0" indent="0"/>
              <a:t> 92 096 </a:t>
            </a:fld>
            <a:endParaRPr lang="en-US" sz="1800" b="1" i="0" u="none" strike="noStrike">
              <a:solidFill>
                <a:sysClr val="windowText" lastClr="000000"/>
              </a:solidFill>
              <a:latin typeface="Calibri"/>
              <a:ea typeface="+mn-ea"/>
              <a:cs typeface="Calibri"/>
            </a:endParaRPr>
          </a:p>
        </xdr:txBody>
      </xdr:sp>
    </xdr:grpSp>
    <xdr:clientData/>
  </xdr:twoCellAnchor>
  <xdr:twoCellAnchor>
    <xdr:from>
      <xdr:col>4</xdr:col>
      <xdr:colOff>219075</xdr:colOff>
      <xdr:row>25</xdr:row>
      <xdr:rowOff>122607</xdr:rowOff>
    </xdr:from>
    <xdr:to>
      <xdr:col>10</xdr:col>
      <xdr:colOff>152401</xdr:colOff>
      <xdr:row>37</xdr:row>
      <xdr:rowOff>142875</xdr:rowOff>
    </xdr:to>
    <xdr:graphicFrame macro="">
      <xdr:nvGraphicFramePr>
        <xdr:cNvPr id="3" name="Chart 2">
          <a:extLst>
            <a:ext uri="{FF2B5EF4-FFF2-40B4-BE49-F238E27FC236}">
              <a16:creationId xmlns:a16="http://schemas.microsoft.com/office/drawing/2014/main" id="{C7ECB76E-6535-4D57-B0D5-2DDD44FF3EB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7</xdr:col>
      <xdr:colOff>188388</xdr:colOff>
      <xdr:row>25</xdr:row>
      <xdr:rowOff>162485</xdr:rowOff>
    </xdr:from>
    <xdr:to>
      <xdr:col>10</xdr:col>
      <xdr:colOff>414617</xdr:colOff>
      <xdr:row>27</xdr:row>
      <xdr:rowOff>112059</xdr:rowOff>
    </xdr:to>
    <xdr:sp macro="" textlink="">
      <xdr:nvSpPr>
        <xdr:cNvPr id="10" name="TextBox 9">
          <a:extLst>
            <a:ext uri="{FF2B5EF4-FFF2-40B4-BE49-F238E27FC236}">
              <a16:creationId xmlns:a16="http://schemas.microsoft.com/office/drawing/2014/main" id="{8B732C14-31BF-4938-B422-F5EC6EB8EA3A}"/>
            </a:ext>
          </a:extLst>
        </xdr:cNvPr>
        <xdr:cNvSpPr txBox="1"/>
      </xdr:nvSpPr>
      <xdr:spPr>
        <a:xfrm>
          <a:off x="4424212" y="4924985"/>
          <a:ext cx="2041581" cy="33057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r>
            <a:rPr lang="en-US" sz="2000" b="1">
              <a:solidFill>
                <a:schemeClr val="tx1">
                  <a:lumMod val="75000"/>
                  <a:lumOff val="25000"/>
                </a:schemeClr>
              </a:solidFill>
              <a:latin typeface="+mn-lt"/>
              <a:ea typeface="+mn-ea"/>
              <a:cs typeface="+mn-cs"/>
            </a:rPr>
            <a:t>Sales By Region</a:t>
          </a:r>
          <a:endParaRPr lang="en-US" sz="2400" b="1">
            <a:solidFill>
              <a:schemeClr val="tx1">
                <a:lumMod val="75000"/>
                <a:lumOff val="25000"/>
              </a:schemeClr>
            </a:solidFill>
            <a:latin typeface="+mn-lt"/>
            <a:ea typeface="+mn-ea"/>
            <a:cs typeface="+mn-cs"/>
          </a:endParaRPr>
        </a:p>
      </xdr:txBody>
    </xdr:sp>
    <xdr:clientData/>
  </xdr:twoCellAnchor>
  <xdr:twoCellAnchor>
    <xdr:from>
      <xdr:col>10</xdr:col>
      <xdr:colOff>337858</xdr:colOff>
      <xdr:row>25</xdr:row>
      <xdr:rowOff>166536</xdr:rowOff>
    </xdr:from>
    <xdr:to>
      <xdr:col>19</xdr:col>
      <xdr:colOff>356908</xdr:colOff>
      <xdr:row>37</xdr:row>
      <xdr:rowOff>68356</xdr:rowOff>
    </xdr:to>
    <xdr:graphicFrame macro="">
      <xdr:nvGraphicFramePr>
        <xdr:cNvPr id="11" name="Chart 10">
          <a:extLst>
            <a:ext uri="{FF2B5EF4-FFF2-40B4-BE49-F238E27FC236}">
              <a16:creationId xmlns:a16="http://schemas.microsoft.com/office/drawing/2014/main" id="{620F0D1F-4AE9-4F9B-8A58-8F7D880A223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19</xdr:col>
      <xdr:colOff>257175</xdr:colOff>
      <xdr:row>5</xdr:row>
      <xdr:rowOff>123825</xdr:rowOff>
    </xdr:from>
    <xdr:to>
      <xdr:col>25</xdr:col>
      <xdr:colOff>123825</xdr:colOff>
      <xdr:row>10</xdr:row>
      <xdr:rowOff>148080</xdr:rowOff>
    </xdr:to>
    <xdr:grpSp>
      <xdr:nvGrpSpPr>
        <xdr:cNvPr id="123" name="Group 122">
          <a:extLst>
            <a:ext uri="{FF2B5EF4-FFF2-40B4-BE49-F238E27FC236}">
              <a16:creationId xmlns:a16="http://schemas.microsoft.com/office/drawing/2014/main" id="{0541ABDA-499D-59F2-0C89-E4F00078542C}"/>
            </a:ext>
          </a:extLst>
        </xdr:cNvPr>
        <xdr:cNvGrpSpPr/>
      </xdr:nvGrpSpPr>
      <xdr:grpSpPr>
        <a:xfrm>
          <a:off x="11839575" y="1076325"/>
          <a:ext cx="3524250" cy="976755"/>
          <a:chOff x="6757393" y="1134284"/>
          <a:chExt cx="2172662" cy="747346"/>
        </a:xfrm>
      </xdr:grpSpPr>
      <xdr:sp macro="" textlink="">
        <xdr:nvSpPr>
          <xdr:cNvPr id="9" name="Rectangle: Rounded Corners 8">
            <a:extLst>
              <a:ext uri="{FF2B5EF4-FFF2-40B4-BE49-F238E27FC236}">
                <a16:creationId xmlns:a16="http://schemas.microsoft.com/office/drawing/2014/main" id="{CDE5F92F-5153-4D79-8225-FDBB49994F05}"/>
              </a:ext>
            </a:extLst>
          </xdr:cNvPr>
          <xdr:cNvSpPr/>
        </xdr:nvSpPr>
        <xdr:spPr>
          <a:xfrm>
            <a:off x="6757393" y="1134284"/>
            <a:ext cx="2088022" cy="747346"/>
          </a:xfrm>
          <a:prstGeom prst="roundRect">
            <a:avLst>
              <a:gd name="adj" fmla="val 4518"/>
            </a:avLst>
          </a:prstGeom>
          <a:solidFill>
            <a:schemeClr val="tx2">
              <a:lumMod val="20000"/>
              <a:lumOff val="80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US" sz="1600" b="1">
              <a:solidFill>
                <a:schemeClr val="lt1"/>
              </a:solidFill>
              <a:latin typeface="+mn-lt"/>
              <a:ea typeface="+mn-ea"/>
              <a:cs typeface="+mn-cs"/>
            </a:endParaRPr>
          </a:p>
        </xdr:txBody>
      </xdr:sp>
      <xdr:sp macro="" textlink="">
        <xdr:nvSpPr>
          <xdr:cNvPr id="25" name="TextBox 24">
            <a:extLst>
              <a:ext uri="{FF2B5EF4-FFF2-40B4-BE49-F238E27FC236}">
                <a16:creationId xmlns:a16="http://schemas.microsoft.com/office/drawing/2014/main" id="{8A96C08C-C8AB-4F19-B1C4-73D1BCA315F8}"/>
              </a:ext>
            </a:extLst>
          </xdr:cNvPr>
          <xdr:cNvSpPr txBox="1"/>
        </xdr:nvSpPr>
        <xdr:spPr>
          <a:xfrm>
            <a:off x="7913079" y="1191357"/>
            <a:ext cx="921726" cy="29307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2000" b="1">
                <a:solidFill>
                  <a:schemeClr val="tx1">
                    <a:lumMod val="75000"/>
                    <a:lumOff val="25000"/>
                  </a:schemeClr>
                </a:solidFill>
              </a:rPr>
              <a:t>Profit</a:t>
            </a:r>
            <a:r>
              <a:rPr lang="en-US" sz="2000" b="1">
                <a:solidFill>
                  <a:schemeClr val="tx1">
                    <a:lumMod val="65000"/>
                    <a:lumOff val="35000"/>
                  </a:schemeClr>
                </a:solidFill>
              </a:rPr>
              <a:t> %</a:t>
            </a:r>
          </a:p>
        </xdr:txBody>
      </xdr:sp>
      <xdr:sp macro="" textlink="Pivot_tables!B10">
        <xdr:nvSpPr>
          <xdr:cNvPr id="28" name="TextBox 27">
            <a:extLst>
              <a:ext uri="{FF2B5EF4-FFF2-40B4-BE49-F238E27FC236}">
                <a16:creationId xmlns:a16="http://schemas.microsoft.com/office/drawing/2014/main" id="{63556E37-540C-49B8-817D-043B1FA7CEF2}"/>
              </a:ext>
            </a:extLst>
          </xdr:cNvPr>
          <xdr:cNvSpPr txBox="1"/>
        </xdr:nvSpPr>
        <xdr:spPr>
          <a:xfrm>
            <a:off x="7939960" y="1518949"/>
            <a:ext cx="990095" cy="23446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fld id="{CDBE3168-FEF9-46FC-9C23-261088918B3E}" type="TxLink">
              <a:rPr lang="en-US" sz="3200" b="1" i="0" u="none" strike="noStrike">
                <a:solidFill>
                  <a:srgbClr val="000000"/>
                </a:solidFill>
                <a:latin typeface="Calibri"/>
                <a:ea typeface="+mn-ea"/>
                <a:cs typeface="Calibri"/>
              </a:rPr>
              <a:pPr marL="0" indent="0"/>
              <a:t>21%</a:t>
            </a:fld>
            <a:endParaRPr lang="en-US" sz="3200" b="1" i="0" u="none" strike="noStrike">
              <a:solidFill>
                <a:srgbClr val="000000"/>
              </a:solidFill>
              <a:latin typeface="Calibri"/>
              <a:ea typeface="+mn-ea"/>
              <a:cs typeface="Calibri"/>
            </a:endParaRPr>
          </a:p>
        </xdr:txBody>
      </xdr:sp>
      <xdr:pic>
        <xdr:nvPicPr>
          <xdr:cNvPr id="31" name="Picture 30">
            <a:extLst>
              <a:ext uri="{FF2B5EF4-FFF2-40B4-BE49-F238E27FC236}">
                <a16:creationId xmlns:a16="http://schemas.microsoft.com/office/drawing/2014/main" id="{317F17CF-644B-AB29-DE18-38EA9EC6E1B0}"/>
              </a:ext>
            </a:extLst>
          </xdr:cNvPr>
          <xdr:cNvPicPr>
            <a:picLocks noChangeAspect="1"/>
          </xdr:cNvPicPr>
        </xdr:nvPicPr>
        <xdr:blipFill>
          <a:blip xmlns:r="http://schemas.openxmlformats.org/officeDocument/2006/relationships" r:embed="rId8" cstate="print">
            <a:extLst>
              <a:ext uri="{28A0092B-C50C-407E-A947-70E740481C1C}">
                <a14:useLocalDpi xmlns:a14="http://schemas.microsoft.com/office/drawing/2010/main" val="0"/>
              </a:ext>
            </a:extLst>
          </a:blip>
          <a:stretch>
            <a:fillRect/>
          </a:stretch>
        </xdr:blipFill>
        <xdr:spPr>
          <a:xfrm>
            <a:off x="7013330" y="1179634"/>
            <a:ext cx="397120" cy="395654"/>
          </a:xfrm>
          <a:prstGeom prst="rect">
            <a:avLst/>
          </a:prstGeom>
        </xdr:spPr>
      </xdr:pic>
    </xdr:grpSp>
    <xdr:clientData/>
  </xdr:twoCellAnchor>
  <xdr:twoCellAnchor>
    <xdr:from>
      <xdr:col>19</xdr:col>
      <xdr:colOff>514351</xdr:colOff>
      <xdr:row>25</xdr:row>
      <xdr:rowOff>116243</xdr:rowOff>
    </xdr:from>
    <xdr:to>
      <xdr:col>28</xdr:col>
      <xdr:colOff>129363</xdr:colOff>
      <xdr:row>37</xdr:row>
      <xdr:rowOff>28575</xdr:rowOff>
    </xdr:to>
    <xdr:sp macro="" textlink="">
      <xdr:nvSpPr>
        <xdr:cNvPr id="17" name="Rectangle: Rounded Corners 16">
          <a:extLst>
            <a:ext uri="{FF2B5EF4-FFF2-40B4-BE49-F238E27FC236}">
              <a16:creationId xmlns:a16="http://schemas.microsoft.com/office/drawing/2014/main" id="{F069D781-0ED2-4E7B-B8AE-2CC5FF4B1553}"/>
            </a:ext>
          </a:extLst>
        </xdr:cNvPr>
        <xdr:cNvSpPr/>
      </xdr:nvSpPr>
      <xdr:spPr>
        <a:xfrm>
          <a:off x="12096751" y="4878743"/>
          <a:ext cx="5101412" cy="2198332"/>
        </a:xfrm>
        <a:prstGeom prst="roundRect">
          <a:avLst>
            <a:gd name="adj" fmla="val 4518"/>
          </a:avLst>
        </a:prstGeom>
        <a:solidFill>
          <a:schemeClr val="tx2">
            <a:lumMod val="20000"/>
            <a:lumOff val="80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US" sz="1600" b="1">
            <a:solidFill>
              <a:schemeClr val="lt1"/>
            </a:solidFill>
            <a:latin typeface="+mn-lt"/>
            <a:ea typeface="+mn-ea"/>
            <a:cs typeface="+mn-cs"/>
          </a:endParaRPr>
        </a:p>
      </xdr:txBody>
    </xdr:sp>
    <xdr:clientData/>
  </xdr:twoCellAnchor>
  <xdr:twoCellAnchor>
    <xdr:from>
      <xdr:col>19</xdr:col>
      <xdr:colOff>581025</xdr:colOff>
      <xdr:row>25</xdr:row>
      <xdr:rowOff>53963</xdr:rowOff>
    </xdr:from>
    <xdr:to>
      <xdr:col>28</xdr:col>
      <xdr:colOff>116060</xdr:colOff>
      <xdr:row>37</xdr:row>
      <xdr:rowOff>28575</xdr:rowOff>
    </xdr:to>
    <mc:AlternateContent xmlns:mc="http://schemas.openxmlformats.org/markup-compatibility/2006">
      <mc:Choice xmlns:cx4="http://schemas.microsoft.com/office/drawing/2016/5/10/chartex" Requires="cx4">
        <xdr:graphicFrame macro="">
          <xdr:nvGraphicFramePr>
            <xdr:cNvPr id="33" name="Chart 32">
              <a:extLst>
                <a:ext uri="{FF2B5EF4-FFF2-40B4-BE49-F238E27FC236}">
                  <a16:creationId xmlns:a16="http://schemas.microsoft.com/office/drawing/2014/main" id="{0B5AAE76-4CCD-435B-9BB3-5162845D204B}"/>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9"/>
            </a:graphicData>
          </a:graphic>
        </xdr:graphicFrame>
      </mc:Choice>
      <mc:Fallback>
        <xdr:sp macro="" textlink="">
          <xdr:nvSpPr>
            <xdr:cNvPr id="0" name=""/>
            <xdr:cNvSpPr>
              <a:spLocks noTextEdit="1"/>
            </xdr:cNvSpPr>
          </xdr:nvSpPr>
          <xdr:spPr>
            <a:xfrm>
              <a:off x="12163425" y="4816463"/>
              <a:ext cx="5021435" cy="2260612"/>
            </a:xfrm>
            <a:prstGeom prst="rect">
              <a:avLst/>
            </a:prstGeom>
            <a:solidFill>
              <a:prstClr val="white"/>
            </a:solidFill>
            <a:ln w="1">
              <a:solidFill>
                <a:prstClr val="green"/>
              </a:solidFill>
            </a:ln>
          </xdr:spPr>
          <xdr:txBody>
            <a:bodyPr vertOverflow="clip" horzOverflow="clip"/>
            <a:lstStyle/>
            <a:p>
              <a:r>
                <a:rPr lang="en-US" sz="1100"/>
                <a:t>This chart isn't available in your version of Excel.
Editing this shape or saving this workbook into a different file format will permanently break the chart.</a:t>
              </a:r>
            </a:p>
          </xdr:txBody>
        </xdr:sp>
      </mc:Fallback>
    </mc:AlternateContent>
    <xdr:clientData/>
  </xdr:twoCellAnchor>
  <xdr:twoCellAnchor>
    <xdr:from>
      <xdr:col>23</xdr:col>
      <xdr:colOff>183848</xdr:colOff>
      <xdr:row>25</xdr:row>
      <xdr:rowOff>123568</xdr:rowOff>
    </xdr:from>
    <xdr:to>
      <xdr:col>26</xdr:col>
      <xdr:colOff>537775</xdr:colOff>
      <xdr:row>27</xdr:row>
      <xdr:rowOff>46853</xdr:rowOff>
    </xdr:to>
    <xdr:sp macro="" textlink="">
      <xdr:nvSpPr>
        <xdr:cNvPr id="41" name="TextBox 9">
          <a:extLst>
            <a:ext uri="{FF2B5EF4-FFF2-40B4-BE49-F238E27FC236}">
              <a16:creationId xmlns:a16="http://schemas.microsoft.com/office/drawing/2014/main" id="{5991C75E-0788-AF44-6F43-220BEEF5B1D5}"/>
            </a:ext>
          </a:extLst>
        </xdr:cNvPr>
        <xdr:cNvSpPr txBox="1"/>
      </xdr:nvSpPr>
      <xdr:spPr>
        <a:xfrm>
          <a:off x="14204648" y="4886068"/>
          <a:ext cx="2182727" cy="30428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lstStyle>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a:pPr marL="0" indent="0" algn="ctr"/>
          <a:r>
            <a:rPr lang="en-US" sz="2000" b="1">
              <a:solidFill>
                <a:schemeClr val="tx1">
                  <a:lumMod val="75000"/>
                  <a:lumOff val="25000"/>
                </a:schemeClr>
              </a:solidFill>
              <a:latin typeface="+mn-lt"/>
              <a:ea typeface="+mn-ea"/>
              <a:cs typeface="+mn-cs"/>
            </a:rPr>
            <a:t>Sales By Country</a:t>
          </a:r>
          <a:endParaRPr lang="en-US" sz="2400" b="1">
            <a:solidFill>
              <a:schemeClr val="tx1">
                <a:lumMod val="75000"/>
                <a:lumOff val="25000"/>
              </a:schemeClr>
            </a:solidFill>
            <a:latin typeface="+mn-lt"/>
            <a:ea typeface="+mn-ea"/>
            <a:cs typeface="+mn-cs"/>
          </a:endParaRPr>
        </a:p>
      </xdr:txBody>
    </xdr:sp>
    <xdr:clientData/>
  </xdr:twoCellAnchor>
  <xdr:twoCellAnchor>
    <xdr:from>
      <xdr:col>0</xdr:col>
      <xdr:colOff>342900</xdr:colOff>
      <xdr:row>5</xdr:row>
      <xdr:rowOff>118295</xdr:rowOff>
    </xdr:from>
    <xdr:to>
      <xdr:col>4</xdr:col>
      <xdr:colOff>276225</xdr:colOff>
      <xdr:row>17</xdr:row>
      <xdr:rowOff>66675</xdr:rowOff>
    </xdr:to>
    <xdr:sp macro="" textlink="">
      <xdr:nvSpPr>
        <xdr:cNvPr id="4" name="Rectangle: Rounded Corners 3">
          <a:extLst>
            <a:ext uri="{FF2B5EF4-FFF2-40B4-BE49-F238E27FC236}">
              <a16:creationId xmlns:a16="http://schemas.microsoft.com/office/drawing/2014/main" id="{6A02DB4E-79C0-4FBF-86F3-B5AFB07A0C84}"/>
            </a:ext>
          </a:extLst>
        </xdr:cNvPr>
        <xdr:cNvSpPr/>
      </xdr:nvSpPr>
      <xdr:spPr>
        <a:xfrm>
          <a:off x="342900" y="1070795"/>
          <a:ext cx="2371725" cy="2234380"/>
        </a:xfrm>
        <a:prstGeom prst="roundRect">
          <a:avLst>
            <a:gd name="adj" fmla="val 4518"/>
          </a:avLst>
        </a:prstGeom>
        <a:solidFill>
          <a:schemeClr val="tx2">
            <a:lumMod val="20000"/>
            <a:lumOff val="80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US" sz="1600" b="1">
            <a:solidFill>
              <a:schemeClr val="lt1"/>
            </a:solidFill>
            <a:latin typeface="+mn-lt"/>
            <a:ea typeface="+mn-ea"/>
            <a:cs typeface="+mn-cs"/>
          </a:endParaRPr>
        </a:p>
      </xdr:txBody>
    </xdr:sp>
    <xdr:clientData/>
  </xdr:twoCellAnchor>
  <xdr:twoCellAnchor>
    <xdr:from>
      <xdr:col>0</xdr:col>
      <xdr:colOff>436486</xdr:colOff>
      <xdr:row>6</xdr:row>
      <xdr:rowOff>66675</xdr:rowOff>
    </xdr:from>
    <xdr:to>
      <xdr:col>4</xdr:col>
      <xdr:colOff>142528</xdr:colOff>
      <xdr:row>17</xdr:row>
      <xdr:rowOff>40660</xdr:rowOff>
    </xdr:to>
    <mc:AlternateContent xmlns:mc="http://schemas.openxmlformats.org/markup-compatibility/2006" xmlns:a14="http://schemas.microsoft.com/office/drawing/2010/main">
      <mc:Choice Requires="a14">
        <xdr:graphicFrame macro="">
          <xdr:nvGraphicFramePr>
            <xdr:cNvPr id="47" name="Region">
              <a:extLst>
                <a:ext uri="{FF2B5EF4-FFF2-40B4-BE49-F238E27FC236}">
                  <a16:creationId xmlns:a16="http://schemas.microsoft.com/office/drawing/2014/main" id="{4E69AEC3-5699-4F9F-89C4-3DDDDEF1A4F7}"/>
                </a:ext>
              </a:extLst>
            </xdr:cNvPr>
            <xdr:cNvGraphicFramePr/>
          </xdr:nvGraphicFramePr>
          <xdr:xfrm>
            <a:off x="0" y="0"/>
            <a:ext cx="0" cy="0"/>
          </xdr:xfrm>
          <a:graphic>
            <a:graphicData uri="http://schemas.microsoft.com/office/drawing/2010/slicer">
              <sle:slicer xmlns:sle="http://schemas.microsoft.com/office/drawing/2010/slicer" name="Region"/>
            </a:graphicData>
          </a:graphic>
        </xdr:graphicFrame>
      </mc:Choice>
      <mc:Fallback xmlns="">
        <xdr:sp macro="" textlink="">
          <xdr:nvSpPr>
            <xdr:cNvPr id="0" name=""/>
            <xdr:cNvSpPr>
              <a:spLocks noTextEdit="1"/>
            </xdr:cNvSpPr>
          </xdr:nvSpPr>
          <xdr:spPr>
            <a:xfrm>
              <a:off x="436486" y="1209675"/>
              <a:ext cx="2144442" cy="206948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428625</xdr:colOff>
      <xdr:row>18</xdr:row>
      <xdr:rowOff>123825</xdr:rowOff>
    </xdr:from>
    <xdr:to>
      <xdr:col>4</xdr:col>
      <xdr:colOff>127620</xdr:colOff>
      <xdr:row>36</xdr:row>
      <xdr:rowOff>62608</xdr:rowOff>
    </xdr:to>
    <mc:AlternateContent xmlns:mc="http://schemas.openxmlformats.org/markup-compatibility/2006" xmlns:a14="http://schemas.microsoft.com/office/drawing/2010/main">
      <mc:Choice Requires="a14">
        <xdr:graphicFrame macro="">
          <xdr:nvGraphicFramePr>
            <xdr:cNvPr id="48" name="Month">
              <a:extLst>
                <a:ext uri="{FF2B5EF4-FFF2-40B4-BE49-F238E27FC236}">
                  <a16:creationId xmlns:a16="http://schemas.microsoft.com/office/drawing/2014/main" id="{6ADBF78C-AE1C-43DF-B74A-15FF82669206}"/>
                </a:ext>
              </a:extLst>
            </xdr:cNvPr>
            <xdr:cNvGraphicFramePr/>
          </xdr:nvGraphicFramePr>
          <xdr:xfrm>
            <a:off x="0" y="0"/>
            <a:ext cx="0" cy="0"/>
          </xdr:xfrm>
          <a:graphic>
            <a:graphicData uri="http://schemas.microsoft.com/office/drawing/2010/slicer">
              <sle:slicer xmlns:sle="http://schemas.microsoft.com/office/drawing/2010/slicer" name="Month"/>
            </a:graphicData>
          </a:graphic>
        </xdr:graphicFrame>
      </mc:Choice>
      <mc:Fallback xmlns="">
        <xdr:sp macro="" textlink="">
          <xdr:nvSpPr>
            <xdr:cNvPr id="0" name=""/>
            <xdr:cNvSpPr>
              <a:spLocks noTextEdit="1"/>
            </xdr:cNvSpPr>
          </xdr:nvSpPr>
          <xdr:spPr>
            <a:xfrm>
              <a:off x="428625" y="3552825"/>
              <a:ext cx="2137395" cy="3367783"/>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0</xdr:col>
      <xdr:colOff>350452</xdr:colOff>
      <xdr:row>0</xdr:row>
      <xdr:rowOff>124811</xdr:rowOff>
    </xdr:from>
    <xdr:to>
      <xdr:col>28</xdr:col>
      <xdr:colOff>76200</xdr:colOff>
      <xdr:row>5</xdr:row>
      <xdr:rowOff>59121</xdr:rowOff>
    </xdr:to>
    <xdr:sp macro="" textlink="">
      <xdr:nvSpPr>
        <xdr:cNvPr id="5" name="Rectangle: Rounded Corners 4">
          <a:extLst>
            <a:ext uri="{FF2B5EF4-FFF2-40B4-BE49-F238E27FC236}">
              <a16:creationId xmlns:a16="http://schemas.microsoft.com/office/drawing/2014/main" id="{219ED6D9-81E3-676C-B91A-8E83344D8EDF}"/>
            </a:ext>
          </a:extLst>
        </xdr:cNvPr>
        <xdr:cNvSpPr/>
      </xdr:nvSpPr>
      <xdr:spPr>
        <a:xfrm>
          <a:off x="350452" y="124811"/>
          <a:ext cx="16794548" cy="886810"/>
        </a:xfrm>
        <a:prstGeom prst="roundRect">
          <a:avLst>
            <a:gd name="adj" fmla="val 4518"/>
          </a:avLst>
        </a:prstGeom>
        <a:solidFill>
          <a:schemeClr val="tx2">
            <a:lumMod val="20000"/>
            <a:lumOff val="80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4800" b="1">
              <a:ln>
                <a:solidFill>
                  <a:schemeClr val="accent6">
                    <a:lumMod val="40000"/>
                    <a:lumOff val="60000"/>
                  </a:schemeClr>
                </a:solidFill>
              </a:ln>
              <a:solidFill>
                <a:schemeClr val="tx1">
                  <a:lumMod val="85000"/>
                  <a:lumOff val="15000"/>
                </a:schemeClr>
              </a:solidFill>
            </a:rPr>
            <a:t>Sales</a:t>
          </a:r>
          <a:r>
            <a:rPr lang="en-US" sz="4800" b="1" baseline="0">
              <a:ln>
                <a:solidFill>
                  <a:schemeClr val="accent6">
                    <a:lumMod val="40000"/>
                    <a:lumOff val="60000"/>
                  </a:schemeClr>
                </a:solidFill>
              </a:ln>
              <a:solidFill>
                <a:schemeClr val="tx1">
                  <a:lumMod val="85000"/>
                  <a:lumOff val="15000"/>
                </a:schemeClr>
              </a:solidFill>
            </a:rPr>
            <a:t> Dashboard</a:t>
          </a:r>
          <a:endParaRPr lang="en-US" sz="4800" b="1">
            <a:ln>
              <a:solidFill>
                <a:schemeClr val="accent6">
                  <a:lumMod val="40000"/>
                  <a:lumOff val="60000"/>
                </a:schemeClr>
              </a:solidFill>
            </a:ln>
            <a:solidFill>
              <a:schemeClr val="tx1">
                <a:lumMod val="85000"/>
                <a:lumOff val="15000"/>
              </a:schemeClr>
            </a:solidFill>
          </a:endParaRPr>
        </a:p>
      </xdr:txBody>
    </xdr:sp>
    <xdr:clientData/>
  </xdr:twoCellAnchor>
  <xdr:twoCellAnchor editAs="oneCell">
    <xdr:from>
      <xdr:col>8</xdr:col>
      <xdr:colOff>48358</xdr:colOff>
      <xdr:row>1</xdr:row>
      <xdr:rowOff>18317</xdr:rowOff>
    </xdr:from>
    <xdr:to>
      <xdr:col>10</xdr:col>
      <xdr:colOff>481199</xdr:colOff>
      <xdr:row>4</xdr:row>
      <xdr:rowOff>122865</xdr:rowOff>
    </xdr:to>
    <xdr:pic>
      <xdr:nvPicPr>
        <xdr:cNvPr id="66" name="Picture 65">
          <a:extLst>
            <a:ext uri="{FF2B5EF4-FFF2-40B4-BE49-F238E27FC236}">
              <a16:creationId xmlns:a16="http://schemas.microsoft.com/office/drawing/2014/main" id="{71ACCADF-931E-2C1D-8773-4ACAE92A5209}"/>
            </a:ext>
          </a:extLst>
        </xdr:cNvPr>
        <xdr:cNvPicPr>
          <a:picLocks noChangeAspect="1"/>
        </xdr:cNvPicPr>
      </xdr:nvPicPr>
      <xdr:blipFill>
        <a:blip xmlns:r="http://schemas.openxmlformats.org/officeDocument/2006/relationships" r:embed="rId10" cstate="print">
          <a:extLst>
            <a:ext uri="{28A0092B-C50C-407E-A947-70E740481C1C}">
              <a14:useLocalDpi xmlns:a14="http://schemas.microsoft.com/office/drawing/2010/main" val="0"/>
            </a:ext>
          </a:extLst>
        </a:blip>
        <a:stretch>
          <a:fillRect/>
        </a:stretch>
      </xdr:blipFill>
      <xdr:spPr>
        <a:xfrm>
          <a:off x="4925158" y="208817"/>
          <a:ext cx="1652041" cy="676048"/>
        </a:xfrm>
        <a:prstGeom prst="rect">
          <a:avLst/>
        </a:prstGeom>
      </xdr:spPr>
    </xdr:pic>
    <xdr:clientData/>
  </xdr:twoCellAnchor>
  <xdr:twoCellAnchor>
    <xdr:from>
      <xdr:col>4</xdr:col>
      <xdr:colOff>390525</xdr:colOff>
      <xdr:row>11</xdr:row>
      <xdr:rowOff>64277</xdr:rowOff>
    </xdr:from>
    <xdr:to>
      <xdr:col>15</xdr:col>
      <xdr:colOff>485775</xdr:colOff>
      <xdr:row>26</xdr:row>
      <xdr:rowOff>57150</xdr:rowOff>
    </xdr:to>
    <xdr:graphicFrame macro="">
      <xdr:nvGraphicFramePr>
        <xdr:cNvPr id="2" name="Chart 1">
          <a:extLst>
            <a:ext uri="{FF2B5EF4-FFF2-40B4-BE49-F238E27FC236}">
              <a16:creationId xmlns:a16="http://schemas.microsoft.com/office/drawing/2014/main" id="{E4243BEC-3BA9-4180-84A0-C13A9B4E239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wsDr>
</file>

<file path=xl/drawings/drawing2.xml><?xml version="1.0" encoding="utf-8"?>
<c:userShapes xmlns:c="http://schemas.openxmlformats.org/drawingml/2006/chart">
  <cdr:relSizeAnchor xmlns:cdr="http://schemas.openxmlformats.org/drawingml/2006/chartDrawing">
    <cdr:from>
      <cdr:x>0.27775</cdr:x>
      <cdr:y>0.00476</cdr:y>
    </cdr:from>
    <cdr:to>
      <cdr:x>0.72209</cdr:x>
      <cdr:y>0.14762</cdr:y>
    </cdr:to>
    <cdr:sp macro="" textlink="">
      <cdr:nvSpPr>
        <cdr:cNvPr id="2" name="TextBox 9">
          <a:extLst xmlns:a="http://schemas.openxmlformats.org/drawingml/2006/main">
            <a:ext uri="{FF2B5EF4-FFF2-40B4-BE49-F238E27FC236}">
              <a16:creationId xmlns:a16="http://schemas.microsoft.com/office/drawing/2014/main" id="{8B732C14-31BF-4938-B422-F5EC6EB8EA3A}"/>
            </a:ext>
          </a:extLst>
        </cdr:cNvPr>
        <cdr:cNvSpPr txBox="1"/>
      </cdr:nvSpPr>
      <cdr:spPr>
        <a:xfrm xmlns:a="http://schemas.openxmlformats.org/drawingml/2006/main">
          <a:off x="856761" y="7327"/>
          <a:ext cx="1370624" cy="219808"/>
        </a:xfrm>
        <a:prstGeom xmlns:a="http://schemas.openxmlformats.org/drawingml/2006/main" prst="rect">
          <a:avLst/>
        </a:prstGeom>
        <a:noFill xmlns:a="http://schemas.openxmlformats.org/drawingml/2006/main"/>
        <a:ln xmlns:a="http://schemas.openxmlformats.org/drawingml/2006/main" w="9525" cmpd="sng">
          <a:noFill/>
        </a:l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dk1"/>
        </a:fontRef>
      </cdr:style>
      <cdr:txBody>
        <a:bodyPr xmlns:a="http://schemas.openxmlformats.org/drawingml/2006/main" wrap="square" rtlCol="0" anchor="ctr"/>
        <a:lstStyle xmlns:a="http://schemas.openxmlformats.org/drawingml/2006/main">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xmlns:a="http://schemas.openxmlformats.org/drawingml/2006/main">
          <a:pPr marL="0" indent="0" algn="ctr"/>
          <a:r>
            <a:rPr lang="en-US" sz="2000" b="1">
              <a:solidFill>
                <a:schemeClr val="tx1">
                  <a:lumMod val="75000"/>
                  <a:lumOff val="25000"/>
                </a:schemeClr>
              </a:solidFill>
              <a:latin typeface="+mn-lt"/>
              <a:ea typeface="+mn-ea"/>
              <a:cs typeface="+mn-cs"/>
            </a:rPr>
            <a:t>Sales By Week</a:t>
          </a:r>
        </a:p>
      </cdr:txBody>
    </cdr:sp>
  </cdr:relSizeAnchor>
</c:userShapes>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seleem" refreshedDate="45792.583544675923" createdVersion="8" refreshedVersion="8" minRefreshableVersion="3" recordCount="100" xr:uid="{A537FFED-39D9-4ACE-849C-8AD7D7C5B131}">
  <cacheSource type="worksheet">
    <worksheetSource ref="A1:L101" sheet="Database"/>
  </cacheSource>
  <cacheFields count="12">
    <cacheField name="N°" numFmtId="0">
      <sharedItems containsSemiMixedTypes="0" containsString="0" containsNumber="1" containsInteger="1" minValue="1" maxValue="100"/>
    </cacheField>
    <cacheField name="Date" numFmtId="14">
      <sharedItems containsSemiMixedTypes="0" containsNonDate="0" containsDate="1" containsString="0" minDate="2026-01-01T00:00:00" maxDate="2026-12-17T00:00:00"/>
    </cacheField>
    <cacheField name="Customer" numFmtId="0">
      <sharedItems count="18">
        <s v="AliTech"/>
        <s v="StarMall"/>
        <s v="Shopper's Hub"/>
        <s v="TechMart"/>
        <s v="FreshStart"/>
        <s v="CityEssentials"/>
        <s v="LifeGoods"/>
        <s v="RapidDeals"/>
        <s v="SuperShop"/>
        <s v="EasyMart"/>
        <s v="ValueShop"/>
        <s v="TechDeals"/>
        <s v="ShopperPlus"/>
        <s v="DailyEssentials"/>
        <s v="BrightDeals"/>
        <s v="MegaGadgets"/>
        <s v="ValueMart"/>
        <s v="EcoShop"/>
      </sharedItems>
    </cacheField>
    <cacheField name="Product" numFmtId="0">
      <sharedItems count="20">
        <s v="Keyboard"/>
        <s v="Desk Lamp"/>
        <s v="Smartphone"/>
        <s v="Mouse"/>
        <s v="Printer"/>
        <s v="Portable SSD"/>
        <s v="USB Flash Drive"/>
        <s v="Laptop"/>
        <s v="External Hard Drive"/>
        <s v="Projector"/>
        <s v="Bluetooth Speaker"/>
        <s v="Tablet"/>
        <s v="Headphones"/>
        <s v="Smartwatch"/>
        <s v="Fitness Tracker"/>
        <s v="Router"/>
        <s v="Monitor"/>
        <s v="Wireless Charger"/>
        <s v="Power Bank"/>
        <s v="Camera"/>
      </sharedItems>
    </cacheField>
    <cacheField name="Unit Price" numFmtId="164">
      <sharedItems containsSemiMixedTypes="0" containsString="0" containsNumber="1" minValue="7.33" maxValue="497"/>
    </cacheField>
    <cacheField name="Quantity" numFmtId="0">
      <sharedItems containsSemiMixedTypes="0" containsString="0" containsNumber="1" containsInteger="1" minValue="2" maxValue="100"/>
    </cacheField>
    <cacheField name="Sales" numFmtId="164">
      <sharedItems containsSemiMixedTypes="0" containsString="0" containsNumber="1" minValue="143.69999999999999" maxValue="46550"/>
    </cacheField>
    <cacheField name="Total Profit" numFmtId="164">
      <sharedItems containsSemiMixedTypes="0" containsString="0" containsNumber="1" minValue="35.200000000000003" maxValue="11476.85"/>
    </cacheField>
    <cacheField name="Country" numFmtId="0">
      <sharedItems count="19">
        <s v="Saudi Arabia"/>
        <s v="UAE"/>
        <s v="Egypt"/>
        <s v="Algeria"/>
        <s v="Lebanon"/>
        <s v="Libya"/>
        <s v="Qatar"/>
        <s v="Jordan"/>
        <s v="Yemen"/>
        <s v="Oman"/>
        <s v="Western Sahara"/>
        <s v="Palestine"/>
        <s v="Sudan"/>
        <s v="South Sudan"/>
        <s v="Iraq"/>
        <s v="Kuwait"/>
        <s v="Tunisia"/>
        <s v="Bahrain"/>
        <s v="Syria"/>
      </sharedItems>
    </cacheField>
    <cacheField name="Region" numFmtId="0">
      <sharedItems count="4">
        <s v="Middle East"/>
        <s v="North Africa"/>
        <s v="Levant"/>
        <s v="Horn of Africa"/>
      </sharedItems>
    </cacheField>
    <cacheField name="Month" numFmtId="0">
      <sharedItems count="12">
        <s v="January"/>
        <s v="February"/>
        <s v="March"/>
        <s v="April"/>
        <s v="May"/>
        <s v="June"/>
        <s v="July"/>
        <s v="August"/>
        <s v="September"/>
        <s v="October"/>
        <s v="November"/>
        <s v="December"/>
      </sharedItems>
    </cacheField>
    <cacheField name="Week Number" numFmtId="0">
      <sharedItems containsSemiMixedTypes="0" containsString="0" containsNumber="1" containsInteger="1" minValue="1" maxValue="51" count="39">
        <n v="1"/>
        <n v="2"/>
        <n v="5"/>
        <n v="6"/>
        <n v="7"/>
        <n v="9"/>
        <n v="10"/>
        <n v="14"/>
        <n v="15"/>
        <n v="16"/>
        <n v="17"/>
        <n v="19"/>
        <n v="20"/>
        <n v="21"/>
        <n v="22"/>
        <n v="23"/>
        <n v="24"/>
        <n v="25"/>
        <n v="26"/>
        <n v="27"/>
        <n v="28"/>
        <n v="29"/>
        <n v="30"/>
        <n v="31"/>
        <n v="32"/>
        <n v="36"/>
        <n v="38"/>
        <n v="39"/>
        <n v="40"/>
        <n v="41"/>
        <n v="42"/>
        <n v="43"/>
        <n v="44"/>
        <n v="45"/>
        <n v="46"/>
        <n v="47"/>
        <n v="48"/>
        <n v="50"/>
        <n v="51"/>
      </sharedItems>
    </cacheField>
  </cacheFields>
  <extLst>
    <ext xmlns:x14="http://schemas.microsoft.com/office/spreadsheetml/2009/9/main" uri="{725AE2AE-9491-48be-B2B4-4EB974FC3084}">
      <x14:pivotCacheDefinition pivotCacheId="146755962"/>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00">
  <r>
    <n v="1"/>
    <d v="2026-01-01T00:00:00"/>
    <x v="0"/>
    <x v="0"/>
    <n v="108.87"/>
    <n v="71"/>
    <n v="7729.77"/>
    <n v="1555.91"/>
    <x v="0"/>
    <x v="0"/>
    <x v="0"/>
    <x v="0"/>
  </r>
  <r>
    <n v="2"/>
    <d v="2026-01-02T00:00:00"/>
    <x v="1"/>
    <x v="1"/>
    <n v="14.99"/>
    <n v="25"/>
    <n v="374.75"/>
    <n v="41.96"/>
    <x v="1"/>
    <x v="0"/>
    <x v="0"/>
    <x v="0"/>
  </r>
  <r>
    <n v="3"/>
    <d v="2026-01-05T00:00:00"/>
    <x v="2"/>
    <x v="2"/>
    <n v="279.74"/>
    <n v="9"/>
    <n v="2517.66"/>
    <n v="597.76"/>
    <x v="2"/>
    <x v="1"/>
    <x v="0"/>
    <x v="1"/>
  </r>
  <r>
    <n v="4"/>
    <d v="2026-01-08T00:00:00"/>
    <x v="0"/>
    <x v="3"/>
    <n v="494.57"/>
    <n v="48"/>
    <n v="23739.360000000001"/>
    <n v="5261.71"/>
    <x v="3"/>
    <x v="1"/>
    <x v="0"/>
    <x v="1"/>
  </r>
  <r>
    <n v="5"/>
    <d v="2026-01-10T00:00:00"/>
    <x v="3"/>
    <x v="4"/>
    <n v="154.05000000000001"/>
    <n v="41"/>
    <n v="6316.05"/>
    <n v="1530.86"/>
    <x v="4"/>
    <x v="2"/>
    <x v="0"/>
    <x v="1"/>
  </r>
  <r>
    <n v="6"/>
    <d v="2026-02-01T00:00:00"/>
    <x v="1"/>
    <x v="0"/>
    <n v="118.71"/>
    <n v="45"/>
    <n v="5341.95"/>
    <n v="1598.26"/>
    <x v="2"/>
    <x v="1"/>
    <x v="1"/>
    <x v="2"/>
  </r>
  <r>
    <n v="7"/>
    <d v="2026-02-03T00:00:00"/>
    <x v="2"/>
    <x v="0"/>
    <n v="41.4"/>
    <n v="35"/>
    <n v="1449"/>
    <n v="167.95"/>
    <x v="5"/>
    <x v="2"/>
    <x v="1"/>
    <x v="3"/>
  </r>
  <r>
    <n v="8"/>
    <d v="2026-02-07T00:00:00"/>
    <x v="3"/>
    <x v="5"/>
    <n v="230.25"/>
    <n v="41"/>
    <n v="9440.25"/>
    <n v="1306.6400000000001"/>
    <x v="6"/>
    <x v="0"/>
    <x v="1"/>
    <x v="3"/>
  </r>
  <r>
    <n v="9"/>
    <d v="2026-02-10T00:00:00"/>
    <x v="0"/>
    <x v="0"/>
    <n v="323.89"/>
    <n v="15"/>
    <n v="4858.3499999999995"/>
    <n v="1044.9000000000001"/>
    <x v="0"/>
    <x v="0"/>
    <x v="1"/>
    <x v="4"/>
  </r>
  <r>
    <n v="10"/>
    <d v="2026-03-01T00:00:00"/>
    <x v="1"/>
    <x v="6"/>
    <n v="73.900000000000006"/>
    <n v="32"/>
    <n v="2364.8000000000002"/>
    <n v="649.15"/>
    <x v="1"/>
    <x v="0"/>
    <x v="2"/>
    <x v="5"/>
  </r>
  <r>
    <n v="11"/>
    <d v="2026-03-04T00:00:00"/>
    <x v="2"/>
    <x v="7"/>
    <n v="256.13"/>
    <n v="23"/>
    <n v="5890.99"/>
    <n v="1647.48"/>
    <x v="2"/>
    <x v="1"/>
    <x v="2"/>
    <x v="6"/>
  </r>
  <r>
    <n v="12"/>
    <d v="2026-03-06T00:00:00"/>
    <x v="0"/>
    <x v="2"/>
    <n v="347.78"/>
    <n v="65"/>
    <n v="22605.699999999997"/>
    <n v="5907.7"/>
    <x v="3"/>
    <x v="1"/>
    <x v="2"/>
    <x v="6"/>
  </r>
  <r>
    <n v="13"/>
    <d v="2026-03-08T00:00:00"/>
    <x v="1"/>
    <x v="8"/>
    <n v="463.21"/>
    <n v="97"/>
    <n v="44931.369999999995"/>
    <n v="9210.31"/>
    <x v="2"/>
    <x v="1"/>
    <x v="2"/>
    <x v="6"/>
  </r>
  <r>
    <n v="14"/>
    <d v="2026-04-02T00:00:00"/>
    <x v="2"/>
    <x v="7"/>
    <n v="482.83"/>
    <n v="87"/>
    <n v="42006.21"/>
    <n v="11238.71"/>
    <x v="7"/>
    <x v="2"/>
    <x v="3"/>
    <x v="7"/>
  </r>
  <r>
    <n v="15"/>
    <d v="2026-04-05T00:00:00"/>
    <x v="3"/>
    <x v="5"/>
    <n v="90.53"/>
    <n v="72"/>
    <n v="6518.16"/>
    <n v="663.22"/>
    <x v="4"/>
    <x v="2"/>
    <x v="3"/>
    <x v="7"/>
  </r>
  <r>
    <n v="16"/>
    <d v="2026-04-07T00:00:00"/>
    <x v="0"/>
    <x v="9"/>
    <n v="192.73"/>
    <n v="10"/>
    <n v="1927.3"/>
    <n v="222.11"/>
    <x v="0"/>
    <x v="0"/>
    <x v="3"/>
    <x v="8"/>
  </r>
  <r>
    <n v="17"/>
    <d v="2026-04-10T00:00:00"/>
    <x v="1"/>
    <x v="10"/>
    <n v="444.12"/>
    <n v="49"/>
    <n v="21761.88"/>
    <n v="5867.18"/>
    <x v="1"/>
    <x v="0"/>
    <x v="3"/>
    <x v="8"/>
  </r>
  <r>
    <n v="18"/>
    <d v="2026-04-12T00:00:00"/>
    <x v="2"/>
    <x v="8"/>
    <n v="476.79"/>
    <n v="8"/>
    <n v="3814.32"/>
    <n v="717.27"/>
    <x v="2"/>
    <x v="1"/>
    <x v="3"/>
    <x v="8"/>
  </r>
  <r>
    <n v="19"/>
    <d v="2026-04-14T00:00:00"/>
    <x v="3"/>
    <x v="11"/>
    <n v="497"/>
    <n v="21"/>
    <n v="10437"/>
    <n v="1860.89"/>
    <x v="3"/>
    <x v="1"/>
    <x v="3"/>
    <x v="9"/>
  </r>
  <r>
    <n v="20"/>
    <d v="2026-04-16T00:00:00"/>
    <x v="0"/>
    <x v="1"/>
    <n v="292.5"/>
    <n v="64"/>
    <n v="18720"/>
    <n v="2091.42"/>
    <x v="2"/>
    <x v="1"/>
    <x v="3"/>
    <x v="9"/>
  </r>
  <r>
    <n v="21"/>
    <d v="2026-04-18T00:00:00"/>
    <x v="2"/>
    <x v="12"/>
    <n v="345.7"/>
    <n v="98"/>
    <n v="33878.6"/>
    <n v="7700.14"/>
    <x v="7"/>
    <x v="2"/>
    <x v="3"/>
    <x v="9"/>
  </r>
  <r>
    <n v="22"/>
    <d v="2026-04-20T00:00:00"/>
    <x v="3"/>
    <x v="5"/>
    <n v="309.81"/>
    <n v="80"/>
    <n v="24784.799999999999"/>
    <n v="6238.83"/>
    <x v="4"/>
    <x v="2"/>
    <x v="3"/>
    <x v="10"/>
  </r>
  <r>
    <n v="23"/>
    <d v="2026-04-22T00:00:00"/>
    <x v="0"/>
    <x v="13"/>
    <n v="198.03"/>
    <n v="88"/>
    <n v="17426.64"/>
    <n v="2102.69"/>
    <x v="0"/>
    <x v="0"/>
    <x v="3"/>
    <x v="10"/>
  </r>
  <r>
    <n v="24"/>
    <d v="2026-05-05T00:00:00"/>
    <x v="1"/>
    <x v="1"/>
    <n v="398.97"/>
    <n v="84"/>
    <n v="33513.480000000003"/>
    <n v="8721.85"/>
    <x v="1"/>
    <x v="0"/>
    <x v="4"/>
    <x v="11"/>
  </r>
  <r>
    <n v="25"/>
    <d v="2026-05-07T00:00:00"/>
    <x v="2"/>
    <x v="13"/>
    <n v="79.510000000000005"/>
    <n v="19"/>
    <n v="1510.69"/>
    <n v="319.61"/>
    <x v="2"/>
    <x v="1"/>
    <x v="4"/>
    <x v="11"/>
  </r>
  <r>
    <n v="26"/>
    <d v="2026-05-09T00:00:00"/>
    <x v="3"/>
    <x v="14"/>
    <n v="110.28"/>
    <n v="71"/>
    <n v="7829.88"/>
    <n v="1101.8399999999999"/>
    <x v="3"/>
    <x v="1"/>
    <x v="4"/>
    <x v="11"/>
  </r>
  <r>
    <n v="27"/>
    <d v="2026-05-11T00:00:00"/>
    <x v="0"/>
    <x v="8"/>
    <n v="243.37"/>
    <n v="26"/>
    <n v="6327.62"/>
    <n v="667.86"/>
    <x v="5"/>
    <x v="1"/>
    <x v="4"/>
    <x v="12"/>
  </r>
  <r>
    <n v="28"/>
    <d v="2026-05-13T00:00:00"/>
    <x v="1"/>
    <x v="15"/>
    <n v="395.39"/>
    <n v="84"/>
    <n v="33212.76"/>
    <n v="9620.9599999999991"/>
    <x v="7"/>
    <x v="2"/>
    <x v="4"/>
    <x v="12"/>
  </r>
  <r>
    <n v="29"/>
    <d v="2026-05-15T00:00:00"/>
    <x v="2"/>
    <x v="9"/>
    <n v="366.38"/>
    <n v="23"/>
    <n v="8426.74"/>
    <n v="1293.47"/>
    <x v="4"/>
    <x v="2"/>
    <x v="4"/>
    <x v="12"/>
  </r>
  <r>
    <n v="30"/>
    <d v="2026-05-17T00:00:00"/>
    <x v="3"/>
    <x v="13"/>
    <n v="144.77000000000001"/>
    <n v="7"/>
    <n v="1013.3900000000001"/>
    <n v="181.81"/>
    <x v="0"/>
    <x v="0"/>
    <x v="4"/>
    <x v="12"/>
  </r>
  <r>
    <n v="31"/>
    <d v="2026-05-19T00:00:00"/>
    <x v="0"/>
    <x v="1"/>
    <n v="394.39"/>
    <n v="25"/>
    <n v="9859.75"/>
    <n v="2470.4499999999998"/>
    <x v="1"/>
    <x v="0"/>
    <x v="4"/>
    <x v="13"/>
  </r>
  <r>
    <n v="32"/>
    <d v="2026-05-21T00:00:00"/>
    <x v="1"/>
    <x v="16"/>
    <n v="16.510000000000002"/>
    <n v="83"/>
    <n v="1370.3300000000002"/>
    <n v="372.32"/>
    <x v="2"/>
    <x v="1"/>
    <x v="4"/>
    <x v="13"/>
  </r>
  <r>
    <n v="33"/>
    <d v="2026-05-23T00:00:00"/>
    <x v="2"/>
    <x v="7"/>
    <n v="245.98"/>
    <n v="5"/>
    <n v="1229.8999999999999"/>
    <n v="216.79"/>
    <x v="3"/>
    <x v="1"/>
    <x v="4"/>
    <x v="13"/>
  </r>
  <r>
    <n v="34"/>
    <d v="2026-05-25T00:00:00"/>
    <x v="3"/>
    <x v="17"/>
    <n v="8.59"/>
    <n v="40"/>
    <n v="343.6"/>
    <n v="38.68"/>
    <x v="2"/>
    <x v="1"/>
    <x v="4"/>
    <x v="14"/>
  </r>
  <r>
    <n v="35"/>
    <d v="2026-05-27T00:00:00"/>
    <x v="0"/>
    <x v="0"/>
    <n v="216.97"/>
    <n v="41"/>
    <n v="8895.77"/>
    <n v="988.29"/>
    <x v="7"/>
    <x v="2"/>
    <x v="4"/>
    <x v="14"/>
  </r>
  <r>
    <n v="36"/>
    <d v="2026-05-29T00:00:00"/>
    <x v="1"/>
    <x v="10"/>
    <n v="154.37"/>
    <n v="42"/>
    <n v="6483.54"/>
    <n v="1756.56"/>
    <x v="4"/>
    <x v="2"/>
    <x v="4"/>
    <x v="14"/>
  </r>
  <r>
    <n v="37"/>
    <d v="2026-06-01T00:00:00"/>
    <x v="2"/>
    <x v="2"/>
    <n v="133.82"/>
    <n v="12"/>
    <n v="1605.84"/>
    <n v="444.39"/>
    <x v="0"/>
    <x v="0"/>
    <x v="5"/>
    <x v="15"/>
  </r>
  <r>
    <n v="38"/>
    <d v="2026-06-03T00:00:00"/>
    <x v="3"/>
    <x v="10"/>
    <n v="62.17"/>
    <n v="38"/>
    <n v="2362.46"/>
    <n v="456"/>
    <x v="1"/>
    <x v="0"/>
    <x v="5"/>
    <x v="15"/>
  </r>
  <r>
    <n v="39"/>
    <d v="2026-06-05T00:00:00"/>
    <x v="0"/>
    <x v="15"/>
    <n v="489.76"/>
    <n v="34"/>
    <n v="16651.84"/>
    <n v="4086.81"/>
    <x v="2"/>
    <x v="1"/>
    <x v="5"/>
    <x v="15"/>
  </r>
  <r>
    <n v="40"/>
    <d v="2026-06-07T00:00:00"/>
    <x v="1"/>
    <x v="1"/>
    <n v="82.51"/>
    <n v="70"/>
    <n v="5775.7000000000007"/>
    <n v="819.48"/>
    <x v="8"/>
    <x v="0"/>
    <x v="5"/>
    <x v="15"/>
  </r>
  <r>
    <n v="41"/>
    <d v="2026-06-09T00:00:00"/>
    <x v="2"/>
    <x v="10"/>
    <n v="456.74"/>
    <n v="22"/>
    <n v="10048.280000000001"/>
    <n v="2509.0500000000002"/>
    <x v="2"/>
    <x v="1"/>
    <x v="5"/>
    <x v="16"/>
  </r>
  <r>
    <n v="42"/>
    <d v="2026-06-10T00:00:00"/>
    <x v="3"/>
    <x v="17"/>
    <n v="105.66"/>
    <n v="83"/>
    <n v="8769.7799999999988"/>
    <n v="1866.03"/>
    <x v="7"/>
    <x v="2"/>
    <x v="5"/>
    <x v="16"/>
  </r>
  <r>
    <n v="43"/>
    <d v="2026-06-12T00:00:00"/>
    <x v="0"/>
    <x v="17"/>
    <n v="297.55"/>
    <n v="31"/>
    <n v="9224.0500000000011"/>
    <n v="974.28"/>
    <x v="4"/>
    <x v="2"/>
    <x v="5"/>
    <x v="16"/>
  </r>
  <r>
    <n v="44"/>
    <d v="2026-06-14T00:00:00"/>
    <x v="1"/>
    <x v="0"/>
    <n v="9.6999999999999993"/>
    <n v="93"/>
    <n v="902.09999999999991"/>
    <n v="207.12"/>
    <x v="0"/>
    <x v="0"/>
    <x v="5"/>
    <x v="16"/>
  </r>
  <r>
    <n v="45"/>
    <d v="2026-06-16T00:00:00"/>
    <x v="2"/>
    <x v="18"/>
    <n v="217.66"/>
    <n v="85"/>
    <n v="18501.099999999999"/>
    <n v="5303.18"/>
    <x v="1"/>
    <x v="0"/>
    <x v="5"/>
    <x v="17"/>
  </r>
  <r>
    <n v="46"/>
    <d v="2026-06-18T00:00:00"/>
    <x v="3"/>
    <x v="17"/>
    <n v="424.73"/>
    <n v="64"/>
    <n v="27182.720000000001"/>
    <n v="4546.59"/>
    <x v="9"/>
    <x v="0"/>
    <x v="5"/>
    <x v="17"/>
  </r>
  <r>
    <n v="47"/>
    <d v="2026-06-20T00:00:00"/>
    <x v="0"/>
    <x v="19"/>
    <n v="250.93"/>
    <n v="52"/>
    <n v="13048.36"/>
    <n v="2802.37"/>
    <x v="3"/>
    <x v="1"/>
    <x v="5"/>
    <x v="17"/>
  </r>
  <r>
    <n v="48"/>
    <d v="2026-06-22T00:00:00"/>
    <x v="1"/>
    <x v="15"/>
    <n v="340.54"/>
    <n v="60"/>
    <n v="20432.400000000001"/>
    <n v="3880.07"/>
    <x v="2"/>
    <x v="1"/>
    <x v="5"/>
    <x v="18"/>
  </r>
  <r>
    <n v="49"/>
    <d v="2026-06-24T00:00:00"/>
    <x v="0"/>
    <x v="15"/>
    <n v="205.69"/>
    <n v="23"/>
    <n v="4730.87"/>
    <n v="770.78"/>
    <x v="7"/>
    <x v="2"/>
    <x v="5"/>
    <x v="18"/>
  </r>
  <r>
    <n v="50"/>
    <d v="2026-06-26T00:00:00"/>
    <x v="1"/>
    <x v="13"/>
    <n v="355.06"/>
    <n v="60"/>
    <n v="21303.599999999999"/>
    <n v="4040.29"/>
    <x v="4"/>
    <x v="2"/>
    <x v="5"/>
    <x v="18"/>
  </r>
  <r>
    <n v="51"/>
    <d v="2026-07-01T00:00:00"/>
    <x v="2"/>
    <x v="12"/>
    <n v="47.9"/>
    <n v="3"/>
    <n v="143.69999999999999"/>
    <n v="35.200000000000003"/>
    <x v="9"/>
    <x v="0"/>
    <x v="6"/>
    <x v="19"/>
  </r>
  <r>
    <n v="52"/>
    <d v="2026-07-03T00:00:00"/>
    <x v="0"/>
    <x v="19"/>
    <n v="154.86000000000001"/>
    <n v="95"/>
    <n v="14711.7"/>
    <n v="3263.14"/>
    <x v="3"/>
    <x v="1"/>
    <x v="6"/>
    <x v="19"/>
  </r>
  <r>
    <n v="53"/>
    <d v="2026-07-05T00:00:00"/>
    <x v="1"/>
    <x v="6"/>
    <n v="124.48"/>
    <n v="100"/>
    <n v="12448"/>
    <n v="1583.47"/>
    <x v="3"/>
    <x v="1"/>
    <x v="6"/>
    <x v="19"/>
  </r>
  <r>
    <n v="54"/>
    <d v="2026-07-07T00:00:00"/>
    <x v="2"/>
    <x v="12"/>
    <n v="455.65"/>
    <n v="7"/>
    <n v="3189.5499999999997"/>
    <n v="733.81"/>
    <x v="8"/>
    <x v="0"/>
    <x v="6"/>
    <x v="20"/>
  </r>
  <r>
    <n v="55"/>
    <d v="2026-07-09T00:00:00"/>
    <x v="3"/>
    <x v="1"/>
    <n v="116.49"/>
    <n v="74"/>
    <n v="8620.26"/>
    <n v="2218.9499999999998"/>
    <x v="3"/>
    <x v="1"/>
    <x v="6"/>
    <x v="20"/>
  </r>
  <r>
    <n v="56"/>
    <d v="2026-07-11T00:00:00"/>
    <x v="0"/>
    <x v="5"/>
    <n v="388.59"/>
    <n v="27"/>
    <n v="10491.929999999998"/>
    <n v="2943.5"/>
    <x v="2"/>
    <x v="1"/>
    <x v="6"/>
    <x v="20"/>
  </r>
  <r>
    <n v="57"/>
    <d v="2026-07-13T00:00:00"/>
    <x v="1"/>
    <x v="1"/>
    <n v="118.31"/>
    <n v="53"/>
    <n v="6270.43"/>
    <n v="1695.73"/>
    <x v="10"/>
    <x v="1"/>
    <x v="6"/>
    <x v="21"/>
  </r>
  <r>
    <n v="58"/>
    <d v="2026-07-15T00:00:00"/>
    <x v="2"/>
    <x v="8"/>
    <n v="435.09"/>
    <n v="80"/>
    <n v="34807.199999999997"/>
    <n v="8272.34"/>
    <x v="3"/>
    <x v="1"/>
    <x v="6"/>
    <x v="21"/>
  </r>
  <r>
    <n v="59"/>
    <d v="2026-07-17T00:00:00"/>
    <x v="3"/>
    <x v="2"/>
    <n v="211.04"/>
    <n v="30"/>
    <n v="6331.2"/>
    <n v="1001.46"/>
    <x v="3"/>
    <x v="1"/>
    <x v="6"/>
    <x v="21"/>
  </r>
  <r>
    <n v="60"/>
    <d v="2026-07-19T00:00:00"/>
    <x v="0"/>
    <x v="0"/>
    <n v="444.11"/>
    <n v="54"/>
    <n v="23981.940000000002"/>
    <n v="3183.02"/>
    <x v="11"/>
    <x v="0"/>
    <x v="6"/>
    <x v="21"/>
  </r>
  <r>
    <n v="61"/>
    <d v="2026-07-21T00:00:00"/>
    <x v="2"/>
    <x v="13"/>
    <n v="330.91"/>
    <n v="24"/>
    <n v="7941.84"/>
    <n v="1299.6400000000001"/>
    <x v="3"/>
    <x v="1"/>
    <x v="6"/>
    <x v="22"/>
  </r>
  <r>
    <n v="62"/>
    <d v="2026-07-23T00:00:00"/>
    <x v="3"/>
    <x v="8"/>
    <n v="461.53"/>
    <n v="46"/>
    <n v="21230.379999999997"/>
    <n v="2577.8000000000002"/>
    <x v="12"/>
    <x v="3"/>
    <x v="6"/>
    <x v="22"/>
  </r>
  <r>
    <n v="63"/>
    <d v="2026-07-25T00:00:00"/>
    <x v="0"/>
    <x v="12"/>
    <n v="202.13"/>
    <n v="53"/>
    <n v="10712.89"/>
    <n v="2000.92"/>
    <x v="13"/>
    <x v="3"/>
    <x v="6"/>
    <x v="22"/>
  </r>
  <r>
    <n v="64"/>
    <d v="2026-07-27T00:00:00"/>
    <x v="1"/>
    <x v="4"/>
    <n v="149.88999999999999"/>
    <n v="71"/>
    <n v="10642.189999999999"/>
    <n v="2316.2399999999998"/>
    <x v="3"/>
    <x v="1"/>
    <x v="6"/>
    <x v="23"/>
  </r>
  <r>
    <n v="65"/>
    <d v="2026-07-29T00:00:00"/>
    <x v="2"/>
    <x v="0"/>
    <n v="329.52"/>
    <n v="37"/>
    <n v="12192.24"/>
    <n v="3391.73"/>
    <x v="3"/>
    <x v="1"/>
    <x v="6"/>
    <x v="23"/>
  </r>
  <r>
    <n v="66"/>
    <d v="2026-07-31T00:00:00"/>
    <x v="4"/>
    <x v="15"/>
    <n v="151.63999999999999"/>
    <n v="34"/>
    <n v="5155.7599999999993"/>
    <n v="519.52"/>
    <x v="14"/>
    <x v="0"/>
    <x v="6"/>
    <x v="23"/>
  </r>
  <r>
    <n v="67"/>
    <d v="2026-08-01T00:00:00"/>
    <x v="5"/>
    <x v="19"/>
    <n v="490"/>
    <n v="95"/>
    <n v="46550"/>
    <n v="6676.33"/>
    <x v="14"/>
    <x v="0"/>
    <x v="7"/>
    <x v="23"/>
  </r>
  <r>
    <n v="68"/>
    <d v="2026-08-03T00:00:00"/>
    <x v="6"/>
    <x v="15"/>
    <n v="257.55"/>
    <n v="38"/>
    <n v="9786.9"/>
    <n v="1541.49"/>
    <x v="2"/>
    <x v="1"/>
    <x v="7"/>
    <x v="24"/>
  </r>
  <r>
    <n v="69"/>
    <d v="2026-08-05T00:00:00"/>
    <x v="7"/>
    <x v="7"/>
    <n v="442.86"/>
    <n v="65"/>
    <n v="28785.9"/>
    <n v="5660.28"/>
    <x v="3"/>
    <x v="1"/>
    <x v="7"/>
    <x v="24"/>
  </r>
  <r>
    <n v="70"/>
    <d v="2026-08-07T00:00:00"/>
    <x v="8"/>
    <x v="6"/>
    <n v="459.77"/>
    <n v="64"/>
    <n v="29425.279999999999"/>
    <n v="8347.85"/>
    <x v="2"/>
    <x v="1"/>
    <x v="7"/>
    <x v="24"/>
  </r>
  <r>
    <n v="71"/>
    <d v="2026-09-01T00:00:00"/>
    <x v="9"/>
    <x v="5"/>
    <n v="219.86"/>
    <n v="69"/>
    <n v="15170.34"/>
    <n v="3820.08"/>
    <x v="3"/>
    <x v="1"/>
    <x v="8"/>
    <x v="25"/>
  </r>
  <r>
    <n v="72"/>
    <d v="2026-09-05T00:00:00"/>
    <x v="10"/>
    <x v="8"/>
    <n v="308.70999999999998"/>
    <n v="10"/>
    <n v="3087.1"/>
    <n v="655.75"/>
    <x v="2"/>
    <x v="1"/>
    <x v="8"/>
    <x v="25"/>
  </r>
  <r>
    <n v="73"/>
    <d v="2026-09-17T00:00:00"/>
    <x v="11"/>
    <x v="14"/>
    <n v="257.07"/>
    <n v="32"/>
    <n v="8226.24"/>
    <n v="2180.14"/>
    <x v="2"/>
    <x v="1"/>
    <x v="8"/>
    <x v="26"/>
  </r>
  <r>
    <n v="74"/>
    <d v="2026-09-19T00:00:00"/>
    <x v="12"/>
    <x v="13"/>
    <n v="215.32"/>
    <n v="87"/>
    <n v="18732.84"/>
    <n v="4877.93"/>
    <x v="10"/>
    <x v="1"/>
    <x v="8"/>
    <x v="26"/>
  </r>
  <r>
    <n v="75"/>
    <d v="2026-09-20T00:00:00"/>
    <x v="13"/>
    <x v="1"/>
    <n v="398.01"/>
    <n v="48"/>
    <n v="19104.48"/>
    <n v="5575.04"/>
    <x v="3"/>
    <x v="1"/>
    <x v="8"/>
    <x v="26"/>
  </r>
  <r>
    <n v="76"/>
    <d v="2026-09-20T00:00:00"/>
    <x v="14"/>
    <x v="5"/>
    <n v="81.41"/>
    <n v="48"/>
    <n v="3907.68"/>
    <n v="405.65"/>
    <x v="11"/>
    <x v="0"/>
    <x v="8"/>
    <x v="26"/>
  </r>
  <r>
    <n v="77"/>
    <d v="2026-09-25T00:00:00"/>
    <x v="15"/>
    <x v="12"/>
    <n v="474.08"/>
    <n v="43"/>
    <n v="20385.439999999999"/>
    <n v="4951.41"/>
    <x v="11"/>
    <x v="0"/>
    <x v="8"/>
    <x v="27"/>
  </r>
  <r>
    <n v="78"/>
    <d v="2026-09-25T00:00:00"/>
    <x v="6"/>
    <x v="11"/>
    <n v="141.16"/>
    <n v="8"/>
    <n v="1129.28"/>
    <n v="315.36"/>
    <x v="3"/>
    <x v="1"/>
    <x v="8"/>
    <x v="27"/>
  </r>
  <r>
    <n v="79"/>
    <d v="2026-09-26T00:00:00"/>
    <x v="16"/>
    <x v="3"/>
    <n v="484.42"/>
    <n v="36"/>
    <n v="17439.12"/>
    <n v="4893.78"/>
    <x v="3"/>
    <x v="1"/>
    <x v="8"/>
    <x v="27"/>
  </r>
  <r>
    <n v="80"/>
    <d v="2026-09-27T00:00:00"/>
    <x v="5"/>
    <x v="11"/>
    <n v="484.53"/>
    <n v="94"/>
    <n v="45545.82"/>
    <n v="11476.85"/>
    <x v="12"/>
    <x v="3"/>
    <x v="8"/>
    <x v="27"/>
  </r>
  <r>
    <n v="81"/>
    <d v="2026-09-29T00:00:00"/>
    <x v="7"/>
    <x v="11"/>
    <n v="389.92"/>
    <n v="41"/>
    <n v="15986.720000000001"/>
    <n v="3120.26"/>
    <x v="13"/>
    <x v="3"/>
    <x v="8"/>
    <x v="28"/>
  </r>
  <r>
    <n v="82"/>
    <d v="2026-10-10T00:00:00"/>
    <x v="17"/>
    <x v="10"/>
    <n v="329.58"/>
    <n v="94"/>
    <n v="30980.519999999997"/>
    <n v="8740.64"/>
    <x v="3"/>
    <x v="1"/>
    <x v="9"/>
    <x v="29"/>
  </r>
  <r>
    <n v="83"/>
    <d v="2026-10-14T00:00:00"/>
    <x v="1"/>
    <x v="10"/>
    <n v="467.19"/>
    <n v="73"/>
    <n v="34104.870000000003"/>
    <n v="5347"/>
    <x v="15"/>
    <x v="0"/>
    <x v="9"/>
    <x v="30"/>
  </r>
  <r>
    <n v="84"/>
    <d v="2026-10-20T00:00:00"/>
    <x v="2"/>
    <x v="2"/>
    <n v="365.96"/>
    <n v="90"/>
    <n v="32936.400000000001"/>
    <n v="6814.21"/>
    <x v="3"/>
    <x v="1"/>
    <x v="9"/>
    <x v="31"/>
  </r>
  <r>
    <n v="85"/>
    <d v="2026-11-01T00:00:00"/>
    <x v="3"/>
    <x v="18"/>
    <n v="42.68"/>
    <n v="99"/>
    <n v="4225.32"/>
    <n v="1254.96"/>
    <x v="3"/>
    <x v="1"/>
    <x v="10"/>
    <x v="32"/>
  </r>
  <r>
    <n v="86"/>
    <d v="2026-11-02T00:00:00"/>
    <x v="0"/>
    <x v="18"/>
    <n v="31.73"/>
    <n v="79"/>
    <n v="2506.67"/>
    <n v="390.27"/>
    <x v="16"/>
    <x v="1"/>
    <x v="10"/>
    <x v="33"/>
  </r>
  <r>
    <n v="87"/>
    <d v="2026-11-02T00:00:00"/>
    <x v="2"/>
    <x v="10"/>
    <n v="354.86"/>
    <n v="8"/>
    <n v="2838.88"/>
    <n v="785.96"/>
    <x v="15"/>
    <x v="0"/>
    <x v="10"/>
    <x v="33"/>
  </r>
  <r>
    <n v="88"/>
    <d v="2026-11-03T00:00:00"/>
    <x v="3"/>
    <x v="11"/>
    <n v="262.32"/>
    <n v="2"/>
    <n v="524.64"/>
    <n v="118.76"/>
    <x v="3"/>
    <x v="1"/>
    <x v="10"/>
    <x v="33"/>
  </r>
  <r>
    <n v="89"/>
    <d v="2026-11-08T00:00:00"/>
    <x v="0"/>
    <x v="0"/>
    <n v="160.91"/>
    <n v="68"/>
    <n v="10941.88"/>
    <n v="1312.82"/>
    <x v="3"/>
    <x v="1"/>
    <x v="10"/>
    <x v="33"/>
  </r>
  <r>
    <n v="90"/>
    <d v="2026-11-15T00:00:00"/>
    <x v="1"/>
    <x v="11"/>
    <n v="252.81"/>
    <n v="99"/>
    <n v="25028.19"/>
    <n v="6539.14"/>
    <x v="17"/>
    <x v="0"/>
    <x v="10"/>
    <x v="34"/>
  </r>
  <r>
    <n v="91"/>
    <d v="2026-11-20T00:00:00"/>
    <x v="2"/>
    <x v="4"/>
    <n v="494.91"/>
    <n v="65"/>
    <n v="32169.15"/>
    <n v="6524.36"/>
    <x v="17"/>
    <x v="0"/>
    <x v="10"/>
    <x v="35"/>
  </r>
  <r>
    <n v="92"/>
    <d v="2026-11-21T00:00:00"/>
    <x v="3"/>
    <x v="12"/>
    <n v="228.21"/>
    <n v="97"/>
    <n v="22136.37"/>
    <n v="5350.5"/>
    <x v="10"/>
    <x v="1"/>
    <x v="10"/>
    <x v="35"/>
  </r>
  <r>
    <n v="93"/>
    <d v="2026-11-25T00:00:00"/>
    <x v="0"/>
    <x v="5"/>
    <n v="243.82"/>
    <n v="96"/>
    <n v="23406.720000000001"/>
    <n v="6223.1"/>
    <x v="16"/>
    <x v="1"/>
    <x v="10"/>
    <x v="36"/>
  </r>
  <r>
    <n v="94"/>
    <d v="2026-11-28T00:00:00"/>
    <x v="1"/>
    <x v="15"/>
    <n v="417.56"/>
    <n v="99"/>
    <n v="41338.44"/>
    <n v="4203.12"/>
    <x v="3"/>
    <x v="1"/>
    <x v="10"/>
    <x v="36"/>
  </r>
  <r>
    <n v="95"/>
    <d v="2026-11-29T00:00:00"/>
    <x v="2"/>
    <x v="4"/>
    <n v="343.46"/>
    <n v="97"/>
    <n v="33315.619999999995"/>
    <n v="6520.91"/>
    <x v="3"/>
    <x v="1"/>
    <x v="10"/>
    <x v="36"/>
  </r>
  <r>
    <n v="96"/>
    <d v="2026-12-07T00:00:00"/>
    <x v="3"/>
    <x v="1"/>
    <n v="7.33"/>
    <n v="30"/>
    <n v="219.9"/>
    <n v="53.53"/>
    <x v="18"/>
    <x v="0"/>
    <x v="11"/>
    <x v="37"/>
  </r>
  <r>
    <n v="97"/>
    <d v="2026-12-09T00:00:00"/>
    <x v="0"/>
    <x v="16"/>
    <n v="272.64999999999998"/>
    <n v="25"/>
    <n v="6816.2499999999991"/>
    <n v="1966.28"/>
    <x v="3"/>
    <x v="1"/>
    <x v="11"/>
    <x v="37"/>
  </r>
  <r>
    <n v="98"/>
    <d v="2026-12-13T00:00:00"/>
    <x v="1"/>
    <x v="10"/>
    <n v="98.78"/>
    <n v="7"/>
    <n v="691.46"/>
    <n v="165.55"/>
    <x v="18"/>
    <x v="0"/>
    <x v="11"/>
    <x v="37"/>
  </r>
  <r>
    <n v="99"/>
    <d v="2026-12-15T00:00:00"/>
    <x v="2"/>
    <x v="15"/>
    <n v="36.14"/>
    <n v="52"/>
    <n v="1879.28"/>
    <n v="441.35"/>
    <x v="16"/>
    <x v="1"/>
    <x v="11"/>
    <x v="38"/>
  </r>
  <r>
    <n v="100"/>
    <d v="2026-12-16T00:00:00"/>
    <x v="3"/>
    <x v="14"/>
    <n v="323.49"/>
    <n v="86"/>
    <n v="27820.14"/>
    <n v="4153.8500000000004"/>
    <x v="16"/>
    <x v="1"/>
    <x v="11"/>
    <x v="38"/>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F7A8C92F-7723-455B-9C16-C3121672B35C}" name="Monthly Sales By Region" cacheId="72" applyNumberFormats="0" applyBorderFormats="0" applyFontFormats="0" applyPatternFormats="0" applyAlignmentFormats="0" applyWidthHeightFormats="1" dataCaption="Values" updatedVersion="8" minRefreshableVersion="3" useAutoFormatting="1" rowGrandTotals="0" colGrandTotals="0" itemPrintTitles="1" createdVersion="8" indent="0" outline="1" outlineData="1" multipleFieldFilters="0">
  <location ref="C2:G15" firstHeaderRow="1" firstDataRow="2" firstDataCol="1"/>
  <pivotFields count="12">
    <pivotField subtotalTop="0" showAll="0"/>
    <pivotField numFmtId="14" subtotalTop="0" showAll="0"/>
    <pivotField subtotalTop="0" showAll="0"/>
    <pivotField subtotalTop="0" showAll="0"/>
    <pivotField numFmtId="164" subtotalTop="0" showAll="0"/>
    <pivotField subtotalTop="0" showAll="0"/>
    <pivotField dataField="1" numFmtId="164" subtotalTop="0" showAll="0"/>
    <pivotField numFmtId="164" subtotalTop="0" showAll="0"/>
    <pivotField subtotalTop="0" showAll="0"/>
    <pivotField axis="axisCol" subtotalTop="0" showAll="0">
      <items count="5">
        <item x="3"/>
        <item x="2"/>
        <item x="0"/>
        <item x="1"/>
        <item t="default"/>
      </items>
    </pivotField>
    <pivotField axis="axisRow" subtotalTop="0" showAll="0">
      <items count="13">
        <item x="0"/>
        <item x="1"/>
        <item x="2"/>
        <item x="3"/>
        <item x="4"/>
        <item x="5"/>
        <item x="6"/>
        <item x="7"/>
        <item x="8"/>
        <item x="9"/>
        <item x="10"/>
        <item x="11"/>
        <item t="default"/>
      </items>
    </pivotField>
    <pivotField subtotalTop="0" showAll="0"/>
  </pivotFields>
  <rowFields count="1">
    <field x="10"/>
  </rowFields>
  <rowItems count="12">
    <i>
      <x/>
    </i>
    <i>
      <x v="1"/>
    </i>
    <i>
      <x v="2"/>
    </i>
    <i>
      <x v="3"/>
    </i>
    <i>
      <x v="4"/>
    </i>
    <i>
      <x v="5"/>
    </i>
    <i>
      <x v="6"/>
    </i>
    <i>
      <x v="7"/>
    </i>
    <i>
      <x v="8"/>
    </i>
    <i>
      <x v="9"/>
    </i>
    <i>
      <x v="10"/>
    </i>
    <i>
      <x v="11"/>
    </i>
  </rowItems>
  <colFields count="1">
    <field x="9"/>
  </colFields>
  <colItems count="4">
    <i>
      <x/>
    </i>
    <i>
      <x v="1"/>
    </i>
    <i>
      <x v="2"/>
    </i>
    <i>
      <x v="3"/>
    </i>
  </colItems>
  <dataFields count="1">
    <dataField name="Sum of Sales" fld="6" baseField="0" baseItem="0" numFmtId="164"/>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SubtotalsOnTopDefault="0"/>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FEDFD343-5767-4CB0-AAFB-7ACC660933D5}" name="SalesAndProfit" cacheId="72"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A3:B4" firstHeaderRow="0" firstDataRow="1" firstDataCol="0"/>
  <pivotFields count="12">
    <pivotField showAll="0"/>
    <pivotField numFmtId="14" showAll="0"/>
    <pivotField showAll="0"/>
    <pivotField showAll="0"/>
    <pivotField numFmtId="164" showAll="0"/>
    <pivotField showAll="0"/>
    <pivotField dataField="1" numFmtId="164" showAll="0"/>
    <pivotField dataField="1" numFmtId="164" showAll="0"/>
    <pivotField showAll="0"/>
    <pivotField showAll="0">
      <items count="5">
        <item x="3"/>
        <item x="2"/>
        <item x="0"/>
        <item x="1"/>
        <item t="default"/>
      </items>
    </pivotField>
    <pivotField showAll="0">
      <items count="13">
        <item x="0"/>
        <item x="1"/>
        <item x="2"/>
        <item x="3"/>
        <item x="4"/>
        <item x="5"/>
        <item x="6"/>
        <item x="7"/>
        <item x="8"/>
        <item x="9"/>
        <item x="10"/>
        <item x="11"/>
        <item t="default"/>
      </items>
    </pivotField>
    <pivotField showAll="0"/>
  </pivotFields>
  <rowItems count="1">
    <i/>
  </rowItems>
  <colFields count="1">
    <field x="-2"/>
  </colFields>
  <colItems count="2">
    <i>
      <x/>
    </i>
    <i i="1">
      <x v="1"/>
    </i>
  </colItems>
  <dataFields count="2">
    <dataField name="Sum of Sales" fld="6" baseField="0" baseItem="0" numFmtId="164"/>
    <dataField name="Sum of Total Profit" fld="7" baseField="0" baseItem="0" numFmtId="164"/>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F215B25D-67D1-47B4-8D16-D10DBFE25345}" name="PivotTable7" cacheId="72" applyNumberFormats="0" applyBorderFormats="0" applyFontFormats="0" applyPatternFormats="0" applyAlignmentFormats="0" applyWidthHeightFormats="1" dataCaption="Values" updatedVersion="8" minRefreshableVersion="3" useAutoFormatting="1" rowGrandTotals="0" colGrandTotals="0" itemPrintTitles="1" createdVersion="8" indent="0" outline="1" outlineData="1" multipleFieldFilters="0">
  <location ref="T3:U22" firstHeaderRow="1" firstDataRow="1" firstDataCol="1"/>
  <pivotFields count="12">
    <pivotField showAll="0"/>
    <pivotField numFmtId="14" showAll="0"/>
    <pivotField showAll="0"/>
    <pivotField showAll="0"/>
    <pivotField numFmtId="164" showAll="0"/>
    <pivotField showAll="0"/>
    <pivotField dataField="1" numFmtId="164" showAll="0"/>
    <pivotField numFmtId="164" showAll="0"/>
    <pivotField axis="axisRow" showAll="0">
      <items count="20">
        <item x="3"/>
        <item x="17"/>
        <item x="2"/>
        <item x="14"/>
        <item x="7"/>
        <item x="15"/>
        <item x="4"/>
        <item x="5"/>
        <item x="9"/>
        <item x="11"/>
        <item x="6"/>
        <item x="0"/>
        <item x="13"/>
        <item x="12"/>
        <item x="18"/>
        <item x="16"/>
        <item x="1"/>
        <item x="10"/>
        <item x="8"/>
        <item t="default"/>
      </items>
    </pivotField>
    <pivotField showAll="0"/>
    <pivotField showAll="0"/>
    <pivotField showAll="0"/>
  </pivotFields>
  <rowFields count="1">
    <field x="8"/>
  </rowFields>
  <rowItems count="19">
    <i>
      <x/>
    </i>
    <i>
      <x v="1"/>
    </i>
    <i>
      <x v="2"/>
    </i>
    <i>
      <x v="3"/>
    </i>
    <i>
      <x v="4"/>
    </i>
    <i>
      <x v="5"/>
    </i>
    <i>
      <x v="6"/>
    </i>
    <i>
      <x v="7"/>
    </i>
    <i>
      <x v="8"/>
    </i>
    <i>
      <x v="9"/>
    </i>
    <i>
      <x v="10"/>
    </i>
    <i>
      <x v="11"/>
    </i>
    <i>
      <x v="12"/>
    </i>
    <i>
      <x v="13"/>
    </i>
    <i>
      <x v="14"/>
    </i>
    <i>
      <x v="15"/>
    </i>
    <i>
      <x v="16"/>
    </i>
    <i>
      <x v="17"/>
    </i>
    <i>
      <x v="18"/>
    </i>
  </rowItems>
  <colItems count="1">
    <i/>
  </colItems>
  <dataFields count="1">
    <dataField name="Sum of Sales" fld="6" baseField="0" baseItem="0" numFmtId="164"/>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35C62163-F100-4462-94F0-6932139CFF30}" name="Top 10 Products" cacheId="72" applyNumberFormats="0" applyBorderFormats="0" applyFontFormats="0" applyPatternFormats="0" applyAlignmentFormats="0" applyWidthHeightFormats="1" dataCaption="Values" updatedVersion="8" minRefreshableVersion="3" useAutoFormatting="1" rowGrandTotals="0" colGrandTotals="0" itemPrintTitles="1" createdVersion="8" indent="0" outline="1" outlineData="1" multipleFieldFilters="0">
  <location ref="H4:I24" firstHeaderRow="1" firstDataRow="1" firstDataCol="1"/>
  <pivotFields count="12">
    <pivotField showAll="0"/>
    <pivotField numFmtId="14" showAll="0"/>
    <pivotField showAll="0"/>
    <pivotField axis="axisRow" showAll="0" sortType="descending">
      <items count="21">
        <item x="10"/>
        <item x="19"/>
        <item x="1"/>
        <item x="8"/>
        <item x="14"/>
        <item x="12"/>
        <item x="0"/>
        <item x="7"/>
        <item x="16"/>
        <item x="3"/>
        <item x="5"/>
        <item x="18"/>
        <item x="4"/>
        <item x="9"/>
        <item x="15"/>
        <item x="2"/>
        <item x="13"/>
        <item x="11"/>
        <item x="6"/>
        <item x="17"/>
        <item t="default"/>
      </items>
      <autoSortScope>
        <pivotArea dataOnly="0" outline="0" fieldPosition="0">
          <references count="1">
            <reference field="4294967294" count="1" selected="0">
              <x v="0"/>
            </reference>
          </references>
        </pivotArea>
      </autoSortScope>
    </pivotField>
    <pivotField numFmtId="164" showAll="0"/>
    <pivotField showAll="0"/>
    <pivotField dataField="1" numFmtId="164" showAll="0"/>
    <pivotField numFmtId="164" showAll="0"/>
    <pivotField showAll="0"/>
    <pivotField showAll="0">
      <items count="5">
        <item x="3"/>
        <item x="2"/>
        <item x="0"/>
        <item x="1"/>
        <item t="default"/>
      </items>
    </pivotField>
    <pivotField showAll="0">
      <items count="13">
        <item x="0"/>
        <item x="1"/>
        <item x="2"/>
        <item x="3"/>
        <item x="4"/>
        <item x="5"/>
        <item x="6"/>
        <item x="7"/>
        <item x="8"/>
        <item x="9"/>
        <item x="10"/>
        <item x="11"/>
        <item t="default"/>
      </items>
    </pivotField>
    <pivotField showAll="0"/>
  </pivotFields>
  <rowFields count="1">
    <field x="3"/>
  </rowFields>
  <rowItems count="20">
    <i>
      <x v="14"/>
    </i>
    <i>
      <x v="3"/>
    </i>
    <i>
      <x/>
    </i>
    <i>
      <x v="2"/>
    </i>
    <i>
      <x v="17"/>
    </i>
    <i>
      <x v="10"/>
    </i>
    <i>
      <x v="5"/>
    </i>
    <i>
      <x v="12"/>
    </i>
    <i>
      <x v="7"/>
    </i>
    <i>
      <x v="6"/>
    </i>
    <i>
      <x v="1"/>
    </i>
    <i>
      <x v="16"/>
    </i>
    <i>
      <x v="15"/>
    </i>
    <i>
      <x v="19"/>
    </i>
    <i>
      <x v="18"/>
    </i>
    <i>
      <x v="4"/>
    </i>
    <i>
      <x v="9"/>
    </i>
    <i>
      <x v="11"/>
    </i>
    <i>
      <x v="13"/>
    </i>
    <i>
      <x v="8"/>
    </i>
  </rowItems>
  <colItems count="1">
    <i/>
  </colItems>
  <dataFields count="1">
    <dataField name="Sum of Sales" fld="6" baseField="0" baseItem="0" numFmtId="164"/>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512DC90A-9EF8-40CF-BACC-BBA2BA0C65AC}" name="Top 5 Cutomers" cacheId="72" applyNumberFormats="0" applyBorderFormats="0" applyFontFormats="0" applyPatternFormats="0" applyAlignmentFormats="0" applyWidthHeightFormats="1" dataCaption="Values" updatedVersion="8" minRefreshableVersion="3" useAutoFormatting="1" rowGrandTotals="0" colGrandTotals="0" itemPrintTitles="1" createdVersion="8" indent="0" outline="1" outlineData="1" multipleFieldFilters="0">
  <location ref="J3:K8" firstHeaderRow="1" firstDataRow="1" firstDataCol="1"/>
  <pivotFields count="12">
    <pivotField showAll="0"/>
    <pivotField numFmtId="14" showAll="0"/>
    <pivotField axis="axisRow" showAll="0" measureFilter="1" sortType="descending">
      <items count="19">
        <item x="0"/>
        <item x="14"/>
        <item x="5"/>
        <item x="13"/>
        <item x="9"/>
        <item x="17"/>
        <item x="4"/>
        <item x="6"/>
        <item x="15"/>
        <item x="7"/>
        <item x="12"/>
        <item x="2"/>
        <item x="1"/>
        <item x="8"/>
        <item x="11"/>
        <item x="3"/>
        <item x="16"/>
        <item x="10"/>
        <item t="default"/>
      </items>
      <autoSortScope>
        <pivotArea dataOnly="0" outline="0" fieldPosition="0">
          <references count="1">
            <reference field="4294967294" count="1" selected="0">
              <x v="0"/>
            </reference>
          </references>
        </pivotArea>
      </autoSortScope>
    </pivotField>
    <pivotField showAll="0"/>
    <pivotField numFmtId="164" showAll="0"/>
    <pivotField showAll="0"/>
    <pivotField dataField="1" numFmtId="164" showAll="0"/>
    <pivotField numFmtId="164" showAll="0"/>
    <pivotField showAll="0"/>
    <pivotField showAll="0">
      <items count="5">
        <item x="3"/>
        <item x="2"/>
        <item x="0"/>
        <item x="1"/>
        <item t="default"/>
      </items>
    </pivotField>
    <pivotField showAll="0">
      <items count="13">
        <item x="0"/>
        <item x="1"/>
        <item x="2"/>
        <item x="3"/>
        <item x="4"/>
        <item x="5"/>
        <item x="6"/>
        <item x="7"/>
        <item x="8"/>
        <item x="9"/>
        <item x="10"/>
        <item x="11"/>
        <item t="default"/>
      </items>
    </pivotField>
    <pivotField showAll="0"/>
  </pivotFields>
  <rowFields count="1">
    <field x="2"/>
  </rowFields>
  <rowItems count="5">
    <i>
      <x v="12"/>
    </i>
    <i>
      <x v="11"/>
    </i>
    <i>
      <x/>
    </i>
    <i>
      <x v="15"/>
    </i>
    <i>
      <x v="2"/>
    </i>
  </rowItems>
  <colItems count="1">
    <i/>
  </colItems>
  <dataFields count="1">
    <dataField name="Sum of Sales" fld="6" baseField="0" baseItem="0" numFmtId="164"/>
  </dataFields>
  <pivotTableStyleInfo name="PivotStyleLight16" showRowHeaders="1" showColHeaders="1" showRowStripes="0" showColStripes="0" showLastColumn="1"/>
  <filters count="1">
    <filter fld="2" type="count" evalOrder="-1" id="1"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E5EFD385-942D-4403-906C-3A285071292C}" name="SalesBY Region" cacheId="72" applyNumberFormats="0" applyBorderFormats="0" applyFontFormats="0" applyPatternFormats="0" applyAlignmentFormats="0" applyWidthHeightFormats="1" dataCaption="Values" updatedVersion="8" minRefreshableVersion="3" useAutoFormatting="1" rowGrandTotals="0" colGrandTotals="0" itemPrintTitles="1" createdVersion="8" indent="0" outline="1" outlineData="1" multipleFieldFilters="0">
  <location ref="L3:M7" firstHeaderRow="1" firstDataRow="1" firstDataCol="1"/>
  <pivotFields count="12">
    <pivotField showAll="0"/>
    <pivotField numFmtId="14" showAll="0"/>
    <pivotField showAll="0"/>
    <pivotField showAll="0"/>
    <pivotField numFmtId="164" showAll="0"/>
    <pivotField showAll="0"/>
    <pivotField dataField="1" numFmtId="164" showAll="0"/>
    <pivotField numFmtId="164" showAll="0"/>
    <pivotField showAll="0"/>
    <pivotField axis="axisRow" showAll="0">
      <items count="5">
        <item x="3"/>
        <item x="2"/>
        <item x="0"/>
        <item x="1"/>
        <item t="default"/>
      </items>
    </pivotField>
    <pivotField showAll="0">
      <items count="13">
        <item x="0"/>
        <item x="1"/>
        <item x="2"/>
        <item x="3"/>
        <item x="4"/>
        <item x="5"/>
        <item x="6"/>
        <item x="7"/>
        <item x="8"/>
        <item x="9"/>
        <item x="10"/>
        <item x="11"/>
        <item t="default"/>
      </items>
    </pivotField>
    <pivotField showAll="0"/>
  </pivotFields>
  <rowFields count="1">
    <field x="9"/>
  </rowFields>
  <rowItems count="4">
    <i>
      <x/>
    </i>
    <i>
      <x v="1"/>
    </i>
    <i>
      <x v="2"/>
    </i>
    <i>
      <x v="3"/>
    </i>
  </rowItems>
  <colItems count="1">
    <i/>
  </colItems>
  <dataFields count="1">
    <dataField name="Sum of Sales" fld="6" baseField="0" baseItem="0" numFmtId="164"/>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EA86AAFD-4783-4191-9744-1D71AAEFBC30}" name="Weekly Sales" cacheId="72" applyNumberFormats="0" applyBorderFormats="0" applyFontFormats="0" applyPatternFormats="0" applyAlignmentFormats="0" applyWidthHeightFormats="1" dataCaption="Values" updatedVersion="8" minRefreshableVersion="3" useAutoFormatting="1" rowGrandTotals="0" colGrandTotals="0" itemPrintTitles="1" createdVersion="8" indent="0" outline="1" outlineData="1" multipleFieldFilters="0">
  <location ref="P3:Q42" firstHeaderRow="1" firstDataRow="1" firstDataCol="1"/>
  <pivotFields count="12">
    <pivotField showAll="0"/>
    <pivotField numFmtId="14" showAll="0"/>
    <pivotField showAll="0"/>
    <pivotField showAll="0"/>
    <pivotField numFmtId="164" showAll="0"/>
    <pivotField showAll="0"/>
    <pivotField dataField="1" numFmtId="164" showAll="0"/>
    <pivotField numFmtId="164" showAll="0"/>
    <pivotField showAll="0"/>
    <pivotField showAll="0"/>
    <pivotField showAll="0"/>
    <pivotField axis="axisRow" showAll="0">
      <items count="40">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t="default"/>
      </items>
    </pivotField>
  </pivotFields>
  <rowFields count="1">
    <field x="11"/>
  </rowFields>
  <rowItems count="39">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rowItems>
  <colItems count="1">
    <i/>
  </colItems>
  <dataFields count="1">
    <dataField name="Sum of Sales" fld="6" baseField="0" baseItem="0" numFmtId="164"/>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egion" xr10:uid="{E57C401D-94C3-4CDF-801F-AF3D9711556F}" sourceName="Region">
  <pivotTables>
    <pivotTable tabId="7" name="Monthly Sales By Region"/>
    <pivotTable tabId="7" name="SalesAndProfit"/>
    <pivotTable tabId="7" name="SalesBY Region"/>
    <pivotTable tabId="7" name="Top 10 Products"/>
    <pivotTable tabId="7" name="Top 5 Cutomers"/>
  </pivotTables>
  <data>
    <tabular pivotCacheId="146755962">
      <items count="4">
        <i x="3" s="1"/>
        <i x="2" s="1"/>
        <i x="0" s="1"/>
        <i x="1" s="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onth" xr10:uid="{2DA7E32C-8773-4558-BE3B-B2E46C19A971}" sourceName="Month">
  <pivotTables>
    <pivotTable tabId="7" name="Monthly Sales By Region"/>
    <pivotTable tabId="7" name="SalesAndProfit"/>
    <pivotTable tabId="7" name="SalesBY Region"/>
    <pivotTable tabId="7" name="Top 10 Products"/>
    <pivotTable tabId="7" name="Top 5 Cutomers"/>
  </pivotTables>
  <data>
    <tabular pivotCacheId="146755962">
      <items count="12">
        <i x="0" s="1"/>
        <i x="1" s="1"/>
        <i x="2" s="1"/>
        <i x="3" s="1"/>
        <i x="4" s="1"/>
        <i x="5" s="1"/>
        <i x="6" s="1"/>
        <i x="7" s="1"/>
        <i x="8" s="1"/>
        <i x="9" s="1"/>
        <i x="10" s="1"/>
        <i x="11"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Region" xr10:uid="{26BEEAE5-A726-40AC-BF01-57EEE5B08ADB}" cache="Slicer_Region" caption="Region" rowHeight="241300"/>
  <slicer name="Month" xr10:uid="{BDF4667C-BFF5-42C9-B6AC-C819812AF088}" cache="Slicer_Month" caption="Month" startItem="1" rowHeight="24130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C279D396-F56A-43DB-BB3F-40D1A18F1328}" name="Table2" displayName="Table2" ref="A8:B10" totalsRowShown="0">
  <autoFilter ref="A8:B10" xr:uid="{C279D396-F56A-43DB-BB3F-40D1A18F1328}"/>
  <tableColumns count="2">
    <tableColumn id="1" xr3:uid="{A2AB47BA-9650-401E-AB3F-F92573363F5F}" name="Column1"/>
    <tableColumn id="2" xr3:uid="{B0E98D88-BF59-4285-A9B0-4D66F01D7E08}" name="Column2">
      <calculatedColumnFormula>B8/A8</calculatedColumnFormula>
    </tableColumn>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B3255FD7-3412-4D13-857A-1766DFB0E4EE}" name="Table3" displayName="Table3" ref="J10:K15" totalsRowShown="0">
  <autoFilter ref="J10:K15" xr:uid="{B3255FD7-3412-4D13-857A-1766DFB0E4EE}"/>
  <tableColumns count="2">
    <tableColumn id="1" xr3:uid="{9DD1F2BD-D274-4B08-9279-F2CE77A1ADBB}" name="Row Labels">
      <calculatedColumnFormula>J4</calculatedColumnFormula>
    </tableColumn>
    <tableColumn id="2" xr3:uid="{61F3E65C-AC3A-468B-9935-686350175504}" name="Sum of Sales" dataDxfId="5">
      <calculatedColumnFormula>K4</calculatedColumnFormula>
    </tableColumn>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723570C1-EC60-4A1F-BCD2-9231A152FCD8}" name="Table4" displayName="Table4" ref="L10:M14" totalsRowShown="0">
  <autoFilter ref="L10:M14" xr:uid="{723570C1-EC60-4A1F-BCD2-9231A152FCD8}"/>
  <tableColumns count="2">
    <tableColumn id="1" xr3:uid="{822B4183-F75F-426F-BE05-00AEFCFCB83E}" name="Column1">
      <calculatedColumnFormula>L4</calculatedColumnFormula>
    </tableColumn>
    <tableColumn id="2" xr3:uid="{2275DF10-4B1E-453A-966E-3116A01C3ED1}" name="Column2" dataDxfId="4">
      <calculatedColumnFormula>M4</calculatedColumnFormula>
    </tableColumn>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460350ED-715C-4305-8A8F-B892AADF6F20}" name="Table5" displayName="Table5" ref="R3:S42" totalsRowShown="0">
  <autoFilter ref="R3:S42" xr:uid="{460350ED-715C-4305-8A8F-B892AADF6F20}"/>
  <tableColumns count="2">
    <tableColumn id="1" xr3:uid="{B2787960-B711-499A-9E64-99B260CA3869}" name="Row Labels">
      <calculatedColumnFormula>P4</calculatedColumnFormula>
    </tableColumn>
    <tableColumn id="2" xr3:uid="{0D36B64B-9B52-40EC-B120-4F7C288F9032}" name="Sum of Sales" dataDxfId="3">
      <calculatedColumnFormula>Q4</calculatedColumnFormula>
    </tableColumn>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9458CAC8-F9FD-4744-8B0F-065B94CC34D6}" name="Table6" displayName="Table6" ref="V3:W22" totalsRowShown="0">
  <autoFilter ref="V3:W22" xr:uid="{9458CAC8-F9FD-4744-8B0F-065B94CC34D6}"/>
  <tableColumns count="2">
    <tableColumn id="1" xr3:uid="{691D4969-5709-463D-833F-890591E69CCD}" name="Row Labels">
      <calculatedColumnFormula>T4</calculatedColumnFormula>
    </tableColumn>
    <tableColumn id="2" xr3:uid="{A4ACAD00-2A16-406E-B53D-4D041183959F}" name="Sum of Sales" dataDxfId="2">
      <calculatedColumnFormula>U4</calculatedColumnFormula>
    </tableColumn>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F792E349-D73C-463F-A09A-3C86B8261BEA}" name="Table7" displayName="Table7" ref="H25:I36" totalsRowShown="0">
  <autoFilter ref="H25:I36" xr:uid="{F792E349-D73C-463F-A09A-3C86B8261BEA}"/>
  <tableColumns count="2">
    <tableColumn id="1" xr3:uid="{1145E1CD-B95D-4927-9806-AFC6A12C60D5}" name="Column1" dataDxfId="1">
      <calculatedColumnFormula>H4</calculatedColumnFormula>
    </tableColumn>
    <tableColumn id="2" xr3:uid="{50F2EAA1-6F17-4E0E-B370-935F9364C583}" name="Column2" dataDxfId="0">
      <calculatedColumnFormula>I4</calculatedColumnFormula>
    </tableColumn>
  </tableColumns>
  <tableStyleInfo name="TableStyleMedium2" showFirstColumn="0" showLastColumn="0" showRowStripes="1" showColumnStripes="0"/>
</table>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microsoft.com/office/2007/relationships/slicer" Target="../slicers/slicer1.xml"/><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8" Type="http://schemas.openxmlformats.org/officeDocument/2006/relationships/printerSettings" Target="../printerSettings/printerSettings2.bin"/><Relationship Id="rId13" Type="http://schemas.openxmlformats.org/officeDocument/2006/relationships/table" Target="../tables/table5.xml"/><Relationship Id="rId3" Type="http://schemas.openxmlformats.org/officeDocument/2006/relationships/pivotTable" Target="../pivotTables/pivotTable3.xml"/><Relationship Id="rId7" Type="http://schemas.openxmlformats.org/officeDocument/2006/relationships/pivotTable" Target="../pivotTables/pivotTable7.xml"/><Relationship Id="rId12" Type="http://schemas.openxmlformats.org/officeDocument/2006/relationships/table" Target="../tables/table4.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pivotTable" Target="../pivotTables/pivotTable6.xml"/><Relationship Id="rId11" Type="http://schemas.openxmlformats.org/officeDocument/2006/relationships/table" Target="../tables/table3.xml"/><Relationship Id="rId5" Type="http://schemas.openxmlformats.org/officeDocument/2006/relationships/pivotTable" Target="../pivotTables/pivotTable5.xml"/><Relationship Id="rId10" Type="http://schemas.openxmlformats.org/officeDocument/2006/relationships/table" Target="../tables/table2.xml"/><Relationship Id="rId4" Type="http://schemas.openxmlformats.org/officeDocument/2006/relationships/pivotTable" Target="../pivotTables/pivotTable4.xml"/><Relationship Id="rId9" Type="http://schemas.openxmlformats.org/officeDocument/2006/relationships/table" Target="../tables/table1.xml"/><Relationship Id="rId14" Type="http://schemas.openxmlformats.org/officeDocument/2006/relationships/table" Target="../tables/table6.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BA92290-9ECF-47FF-B4C6-23982F982ACE}">
  <sheetPr codeName="Sheet2">
    <tabColor rgb="FF00B0F0"/>
    <pageSetUpPr fitToPage="1"/>
  </sheetPr>
  <dimension ref="A1"/>
  <sheetViews>
    <sheetView showGridLines="0" tabSelected="1" zoomScaleNormal="100" workbookViewId="0">
      <selection activeCell="AC46" sqref="AC46"/>
    </sheetView>
  </sheetViews>
  <sheetFormatPr defaultRowHeight="15" x14ac:dyDescent="0.25"/>
  <cols>
    <col min="1" max="16384" width="9.140625" style="12"/>
  </cols>
  <sheetData/>
  <pageMargins left="0.7" right="0.7" top="0.75" bottom="0.75" header="0.3" footer="0.3"/>
  <pageSetup paperSize="9" scale="79" orientation="landscape" r:id="rId1"/>
  <drawing r:id="rId2"/>
  <extLst>
    <ext xmlns:x14="http://schemas.microsoft.com/office/spreadsheetml/2009/9/main" uri="{A8765BA9-456A-4dab-B4F3-ACF838C121DE}">
      <x14:slicerList>
        <x14:slicer r:id="rId3"/>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588203A-C450-4B49-991A-2AC44DBB6D0B}">
  <sheetPr codeName="Sheet3">
    <tabColor rgb="FFFFC000"/>
  </sheetPr>
  <dimension ref="A2:W42"/>
  <sheetViews>
    <sheetView zoomScale="115" zoomScaleNormal="115" workbookViewId="0">
      <selection activeCell="B3" sqref="B3"/>
    </sheetView>
  </sheetViews>
  <sheetFormatPr defaultRowHeight="15" x14ac:dyDescent="0.25"/>
  <cols>
    <col min="1" max="1" width="12.140625" bestFit="1" customWidth="1"/>
    <col min="2" max="2" width="17.7109375" bestFit="1" customWidth="1"/>
    <col min="3" max="3" width="13.140625" bestFit="1" customWidth="1"/>
    <col min="4" max="4" width="16.28515625" bestFit="1" customWidth="1"/>
    <col min="5" max="5" width="9.5703125" bestFit="1" customWidth="1"/>
    <col min="6" max="6" width="11.42578125" bestFit="1" customWidth="1"/>
    <col min="7" max="7" width="11.7109375" bestFit="1" customWidth="1"/>
    <col min="8" max="8" width="18.28515625" bestFit="1" customWidth="1"/>
    <col min="9" max="9" width="12.140625" bestFit="1" customWidth="1"/>
    <col min="10" max="10" width="13.85546875" bestFit="1" customWidth="1"/>
    <col min="11" max="11" width="12.140625" bestFit="1" customWidth="1"/>
    <col min="12" max="12" width="13.28515625" bestFit="1" customWidth="1"/>
    <col min="13" max="13" width="12.140625" bestFit="1" customWidth="1"/>
    <col min="16" max="16" width="13.140625" bestFit="1" customWidth="1"/>
    <col min="17" max="17" width="12.140625" bestFit="1" customWidth="1"/>
    <col min="18" max="18" width="12.7109375" customWidth="1"/>
    <col min="19" max="19" width="13.85546875" customWidth="1"/>
    <col min="20" max="20" width="15" bestFit="1" customWidth="1"/>
    <col min="21" max="21" width="12.140625" bestFit="1" customWidth="1"/>
    <col min="22" max="22" width="12.7109375" customWidth="1"/>
    <col min="23" max="23" width="13.85546875" customWidth="1"/>
  </cols>
  <sheetData>
    <row r="2" spans="1:23" x14ac:dyDescent="0.25">
      <c r="C2" s="16" t="s">
        <v>85</v>
      </c>
      <c r="D2" s="16" t="s">
        <v>87</v>
      </c>
    </row>
    <row r="3" spans="1:23" x14ac:dyDescent="0.25">
      <c r="A3" t="s">
        <v>85</v>
      </c>
      <c r="B3" t="s">
        <v>86</v>
      </c>
      <c r="C3" s="16" t="s">
        <v>88</v>
      </c>
      <c r="D3" t="s">
        <v>81</v>
      </c>
      <c r="E3" t="s">
        <v>22</v>
      </c>
      <c r="F3" t="s">
        <v>9</v>
      </c>
      <c r="G3" t="s">
        <v>17</v>
      </c>
      <c r="J3" s="16" t="s">
        <v>88</v>
      </c>
      <c r="K3" t="s">
        <v>85</v>
      </c>
      <c r="L3" s="16" t="s">
        <v>88</v>
      </c>
      <c r="M3" t="s">
        <v>85</v>
      </c>
      <c r="P3" s="16" t="s">
        <v>88</v>
      </c>
      <c r="Q3" t="s">
        <v>85</v>
      </c>
      <c r="R3" t="s">
        <v>88</v>
      </c>
      <c r="S3" t="s">
        <v>85</v>
      </c>
      <c r="T3" s="16" t="s">
        <v>88</v>
      </c>
      <c r="U3" t="s">
        <v>85</v>
      </c>
      <c r="V3" t="s">
        <v>88</v>
      </c>
      <c r="W3" t="s">
        <v>85</v>
      </c>
    </row>
    <row r="4" spans="1:23" x14ac:dyDescent="0.25">
      <c r="A4" s="13">
        <v>1405406.5099999993</v>
      </c>
      <c r="B4" s="13">
        <v>298120.95999999985</v>
      </c>
      <c r="C4" s="8" t="s">
        <v>10</v>
      </c>
      <c r="D4" s="13"/>
      <c r="E4" s="13">
        <v>6316.05</v>
      </c>
      <c r="F4" s="13">
        <v>8104.52</v>
      </c>
      <c r="G4" s="13">
        <v>26257.02</v>
      </c>
      <c r="H4" s="16" t="s">
        <v>88</v>
      </c>
      <c r="I4" t="s">
        <v>85</v>
      </c>
      <c r="J4" s="8" t="s">
        <v>11</v>
      </c>
      <c r="K4" s="13">
        <v>328292.24000000005</v>
      </c>
      <c r="L4" s="8" t="s">
        <v>81</v>
      </c>
      <c r="M4" s="13">
        <v>93475.81</v>
      </c>
      <c r="P4" s="8">
        <v>1</v>
      </c>
      <c r="Q4" s="13">
        <v>8104.52</v>
      </c>
      <c r="R4">
        <f t="shared" ref="R4:R42" si="0">P4</f>
        <v>1</v>
      </c>
      <c r="S4" s="13">
        <f t="shared" ref="S4:S42" si="1">Q4</f>
        <v>8104.52</v>
      </c>
      <c r="T4" s="8" t="s">
        <v>18</v>
      </c>
      <c r="U4" s="13">
        <v>429293.02000000008</v>
      </c>
      <c r="V4" t="str">
        <f t="shared" ref="V4:V22" si="2">T4</f>
        <v>Algeria</v>
      </c>
      <c r="W4" s="13">
        <f t="shared" ref="W4:W22" si="3">U4</f>
        <v>429293.02000000008</v>
      </c>
    </row>
    <row r="5" spans="1:23" x14ac:dyDescent="0.25">
      <c r="C5" s="8" t="s">
        <v>29</v>
      </c>
      <c r="D5" s="13"/>
      <c r="E5" s="13">
        <v>1449</v>
      </c>
      <c r="F5" s="13">
        <v>14298.599999999999</v>
      </c>
      <c r="G5" s="13">
        <v>5341.95</v>
      </c>
      <c r="H5" s="8" t="s">
        <v>68</v>
      </c>
      <c r="I5" s="13">
        <v>133188.24999999997</v>
      </c>
      <c r="J5" s="8" t="s">
        <v>14</v>
      </c>
      <c r="K5" s="13">
        <v>292293.18999999994</v>
      </c>
      <c r="L5" s="8" t="s">
        <v>22</v>
      </c>
      <c r="M5" s="13">
        <v>215999.92999999996</v>
      </c>
      <c r="P5" s="8">
        <v>2</v>
      </c>
      <c r="Q5" s="13">
        <v>32573.07</v>
      </c>
      <c r="R5">
        <f t="shared" si="0"/>
        <v>2</v>
      </c>
      <c r="S5" s="13">
        <f t="shared" si="1"/>
        <v>32573.07</v>
      </c>
      <c r="T5" s="8" t="s">
        <v>74</v>
      </c>
      <c r="U5" s="13">
        <v>57197.34</v>
      </c>
      <c r="V5" t="str">
        <f t="shared" si="2"/>
        <v>Bahrain</v>
      </c>
      <c r="W5" s="13">
        <f t="shared" si="3"/>
        <v>57197.34</v>
      </c>
    </row>
    <row r="6" spans="1:23" x14ac:dyDescent="0.25">
      <c r="C6" s="8" t="s">
        <v>32</v>
      </c>
      <c r="D6" s="13"/>
      <c r="E6" s="13"/>
      <c r="F6" s="13">
        <v>2364.8000000000002</v>
      </c>
      <c r="G6" s="13">
        <v>73428.06</v>
      </c>
      <c r="H6" s="8" t="s">
        <v>26</v>
      </c>
      <c r="I6" s="13">
        <v>114197.98999999999</v>
      </c>
      <c r="J6" s="8" t="s">
        <v>7</v>
      </c>
      <c r="K6" s="13">
        <v>269315.36000000004</v>
      </c>
      <c r="L6" s="8" t="s">
        <v>9</v>
      </c>
      <c r="M6" s="13">
        <v>364966.80000000005</v>
      </c>
      <c r="P6" s="8">
        <v>5</v>
      </c>
      <c r="Q6" s="13">
        <v>5341.95</v>
      </c>
      <c r="R6">
        <f t="shared" si="0"/>
        <v>5</v>
      </c>
      <c r="S6" s="13">
        <f t="shared" si="1"/>
        <v>5341.95</v>
      </c>
      <c r="T6" s="8" t="s">
        <v>16</v>
      </c>
      <c r="U6" s="13">
        <v>192590.87999999998</v>
      </c>
      <c r="V6" t="str">
        <f t="shared" si="2"/>
        <v>Egypt</v>
      </c>
      <c r="W6" s="13">
        <f t="shared" si="3"/>
        <v>192590.87999999998</v>
      </c>
    </row>
    <row r="7" spans="1:23" x14ac:dyDescent="0.25">
      <c r="A7" s="15"/>
      <c r="B7" s="15"/>
      <c r="C7" s="8" t="s">
        <v>33</v>
      </c>
      <c r="D7" s="13"/>
      <c r="E7" s="13">
        <v>107187.77</v>
      </c>
      <c r="F7" s="13">
        <v>41115.82</v>
      </c>
      <c r="G7" s="13">
        <v>32971.32</v>
      </c>
      <c r="H7" s="8" t="s">
        <v>28</v>
      </c>
      <c r="I7" s="13">
        <v>109271.89</v>
      </c>
      <c r="J7" s="8" t="s">
        <v>19</v>
      </c>
      <c r="K7" s="13">
        <v>196106.3</v>
      </c>
      <c r="L7" s="8" t="s">
        <v>17</v>
      </c>
      <c r="M7" s="13">
        <v>730963.9700000002</v>
      </c>
      <c r="P7" s="8">
        <v>6</v>
      </c>
      <c r="Q7" s="13">
        <v>10889.25</v>
      </c>
      <c r="R7">
        <f t="shared" si="0"/>
        <v>6</v>
      </c>
      <c r="S7" s="13">
        <f t="shared" si="1"/>
        <v>10889.25</v>
      </c>
      <c r="T7" s="8" t="s">
        <v>75</v>
      </c>
      <c r="U7" s="13">
        <v>51705.760000000002</v>
      </c>
      <c r="V7" t="str">
        <f t="shared" si="2"/>
        <v>Iraq</v>
      </c>
      <c r="W7" s="13">
        <f t="shared" si="3"/>
        <v>51705.760000000002</v>
      </c>
    </row>
    <row r="8" spans="1:23" x14ac:dyDescent="0.25">
      <c r="A8" t="s">
        <v>89</v>
      </c>
      <c r="B8" t="s">
        <v>90</v>
      </c>
      <c r="C8" s="8" t="s">
        <v>35</v>
      </c>
      <c r="D8" s="13"/>
      <c r="E8" s="13">
        <v>57018.810000000005</v>
      </c>
      <c r="F8" s="13">
        <v>44386.62</v>
      </c>
      <c r="G8" s="13">
        <v>18612.02</v>
      </c>
      <c r="H8" s="8" t="s">
        <v>27</v>
      </c>
      <c r="I8" s="13">
        <v>102458.74999999999</v>
      </c>
      <c r="J8" s="8" t="s">
        <v>42</v>
      </c>
      <c r="K8" s="13">
        <v>92095.82</v>
      </c>
      <c r="P8" s="8">
        <v>7</v>
      </c>
      <c r="Q8" s="13">
        <v>4858.3499999999995</v>
      </c>
      <c r="R8">
        <f t="shared" si="0"/>
        <v>7</v>
      </c>
      <c r="S8" s="13">
        <f t="shared" si="1"/>
        <v>4858.3499999999995</v>
      </c>
      <c r="T8" s="8" t="s">
        <v>24</v>
      </c>
      <c r="U8" s="13">
        <v>131493.99000000002</v>
      </c>
      <c r="V8" t="str">
        <f t="shared" si="2"/>
        <v>Jordan</v>
      </c>
      <c r="W8" s="13">
        <f t="shared" si="3"/>
        <v>131493.99000000002</v>
      </c>
    </row>
    <row r="9" spans="1:23" x14ac:dyDescent="0.25">
      <c r="A9" s="13">
        <f>A4</f>
        <v>1405406.5099999993</v>
      </c>
      <c r="B9" s="13">
        <f>B4</f>
        <v>298120.95999999985</v>
      </c>
      <c r="C9" s="8" t="s">
        <v>41</v>
      </c>
      <c r="D9" s="13"/>
      <c r="E9" s="13">
        <v>44028.3</v>
      </c>
      <c r="F9" s="13">
        <v>56329.919999999998</v>
      </c>
      <c r="G9" s="13">
        <v>60180.880000000005</v>
      </c>
      <c r="H9" s="8" t="s">
        <v>67</v>
      </c>
      <c r="I9" s="13">
        <v>98651.650000000009</v>
      </c>
      <c r="P9" s="8">
        <v>9</v>
      </c>
      <c r="Q9" s="13">
        <v>2364.8000000000002</v>
      </c>
      <c r="R9">
        <f t="shared" si="0"/>
        <v>9</v>
      </c>
      <c r="S9" s="13">
        <f t="shared" si="1"/>
        <v>2364.8000000000002</v>
      </c>
      <c r="T9" s="8" t="s">
        <v>76</v>
      </c>
      <c r="U9" s="13">
        <v>36943.75</v>
      </c>
      <c r="V9" t="str">
        <f t="shared" si="2"/>
        <v>Kuwait</v>
      </c>
      <c r="W9" s="13">
        <f t="shared" si="3"/>
        <v>36943.75</v>
      </c>
    </row>
    <row r="10" spans="1:23" x14ac:dyDescent="0.25">
      <c r="B10" s="14">
        <f>B9/A9</f>
        <v>0.21212436250917893</v>
      </c>
      <c r="C10" s="8" t="s">
        <v>51</v>
      </c>
      <c r="D10" s="13">
        <v>31943.269999999997</v>
      </c>
      <c r="E10" s="13"/>
      <c r="F10" s="13">
        <v>32470.95</v>
      </c>
      <c r="G10" s="13">
        <v>124456.98999999999</v>
      </c>
      <c r="H10" s="8" t="s">
        <v>63</v>
      </c>
      <c r="I10" s="13">
        <v>93719.87999999999</v>
      </c>
      <c r="J10" t="s">
        <v>88</v>
      </c>
      <c r="K10" t="s">
        <v>85</v>
      </c>
      <c r="L10" t="s">
        <v>89</v>
      </c>
      <c r="M10" s="13" t="s">
        <v>90</v>
      </c>
      <c r="P10" s="8">
        <v>10</v>
      </c>
      <c r="Q10" s="13">
        <v>73428.06</v>
      </c>
      <c r="R10">
        <f t="shared" si="0"/>
        <v>10</v>
      </c>
      <c r="S10" s="13">
        <f t="shared" si="1"/>
        <v>73428.06</v>
      </c>
      <c r="T10" s="8" t="s">
        <v>21</v>
      </c>
      <c r="U10" s="13">
        <v>83056.94</v>
      </c>
      <c r="V10" t="str">
        <f t="shared" si="2"/>
        <v>Lebanon</v>
      </c>
      <c r="W10" s="13">
        <f t="shared" si="3"/>
        <v>83056.94</v>
      </c>
    </row>
    <row r="11" spans="1:23" x14ac:dyDescent="0.25">
      <c r="C11" s="8" t="s">
        <v>53</v>
      </c>
      <c r="D11" s="13"/>
      <c r="E11" s="13"/>
      <c r="F11" s="13">
        <v>46550</v>
      </c>
      <c r="G11" s="13">
        <v>67998.080000000002</v>
      </c>
      <c r="H11" s="8" t="s">
        <v>15</v>
      </c>
      <c r="I11" s="13">
        <v>90446.549999999988</v>
      </c>
      <c r="J11" t="str">
        <f>J4</f>
        <v>StarMall</v>
      </c>
      <c r="K11" s="13">
        <f>K4</f>
        <v>328292.24000000005</v>
      </c>
      <c r="L11" t="str">
        <f>L4</f>
        <v>Horn of Africa</v>
      </c>
      <c r="M11" s="13">
        <f>M4</f>
        <v>93475.81</v>
      </c>
      <c r="P11" s="8">
        <v>14</v>
      </c>
      <c r="Q11" s="13">
        <v>48524.369999999995</v>
      </c>
      <c r="R11">
        <f t="shared" si="0"/>
        <v>14</v>
      </c>
      <c r="S11" s="13">
        <f t="shared" si="1"/>
        <v>48524.369999999995</v>
      </c>
      <c r="T11" s="8" t="s">
        <v>54</v>
      </c>
      <c r="U11" s="13">
        <v>7776.62</v>
      </c>
      <c r="V11" t="str">
        <f t="shared" si="2"/>
        <v>Libya</v>
      </c>
      <c r="W11" s="13">
        <f t="shared" si="3"/>
        <v>7776.62</v>
      </c>
    </row>
    <row r="12" spans="1:23" x14ac:dyDescent="0.25">
      <c r="C12" s="8" t="s">
        <v>70</v>
      </c>
      <c r="D12" s="13">
        <v>61532.54</v>
      </c>
      <c r="E12" s="13"/>
      <c r="F12" s="13">
        <v>24293.119999999999</v>
      </c>
      <c r="G12" s="13">
        <v>82889.399999999994</v>
      </c>
      <c r="H12" s="8" t="s">
        <v>62</v>
      </c>
      <c r="I12" s="13">
        <v>82443.009999999995</v>
      </c>
      <c r="J12" t="str">
        <f t="shared" ref="J12:K15" si="4">J5</f>
        <v>Shopper's Hub</v>
      </c>
      <c r="K12" s="13">
        <f t="shared" si="4"/>
        <v>292293.18999999994</v>
      </c>
      <c r="L12" t="str">
        <f t="shared" ref="L12:M14" si="5">L5</f>
        <v>Levant</v>
      </c>
      <c r="M12" s="13">
        <f t="shared" si="5"/>
        <v>215999.92999999996</v>
      </c>
      <c r="P12" s="8">
        <v>15</v>
      </c>
      <c r="Q12" s="13">
        <v>27503.5</v>
      </c>
      <c r="R12">
        <f t="shared" si="0"/>
        <v>15</v>
      </c>
      <c r="S12" s="13">
        <f t="shared" si="1"/>
        <v>27503.5</v>
      </c>
      <c r="T12" s="8" t="s">
        <v>77</v>
      </c>
      <c r="U12" s="13">
        <v>27326.420000000002</v>
      </c>
      <c r="V12" t="str">
        <f t="shared" si="2"/>
        <v>Oman</v>
      </c>
      <c r="W12" s="13">
        <f t="shared" si="3"/>
        <v>27326.420000000002</v>
      </c>
    </row>
    <row r="13" spans="1:23" x14ac:dyDescent="0.25">
      <c r="C13" s="8" t="s">
        <v>71</v>
      </c>
      <c r="D13" s="13"/>
      <c r="E13" s="13"/>
      <c r="F13" s="13">
        <v>34104.870000000003</v>
      </c>
      <c r="G13" s="13">
        <v>63916.92</v>
      </c>
      <c r="H13" s="8" t="s">
        <v>65</v>
      </c>
      <c r="I13" s="13">
        <v>77913</v>
      </c>
      <c r="J13" t="str">
        <f t="shared" si="4"/>
        <v>AliTech</v>
      </c>
      <c r="K13" s="13">
        <f t="shared" si="4"/>
        <v>269315.36000000004</v>
      </c>
      <c r="L13" t="str">
        <f t="shared" si="5"/>
        <v>Middle East</v>
      </c>
      <c r="M13" s="13">
        <f t="shared" si="5"/>
        <v>364966.80000000005</v>
      </c>
      <c r="P13" s="8">
        <v>16</v>
      </c>
      <c r="Q13" s="13">
        <v>63035.6</v>
      </c>
      <c r="R13">
        <f t="shared" si="0"/>
        <v>16</v>
      </c>
      <c r="S13" s="13">
        <f t="shared" si="1"/>
        <v>63035.6</v>
      </c>
      <c r="T13" s="8" t="s">
        <v>78</v>
      </c>
      <c r="U13" s="13">
        <v>48275.06</v>
      </c>
      <c r="V13" t="str">
        <f t="shared" si="2"/>
        <v>Palestine</v>
      </c>
      <c r="W13" s="13">
        <f t="shared" si="3"/>
        <v>48275.06</v>
      </c>
    </row>
    <row r="14" spans="1:23" x14ac:dyDescent="0.25">
      <c r="C14" s="8" t="s">
        <v>72</v>
      </c>
      <c r="D14" s="13"/>
      <c r="E14" s="13"/>
      <c r="F14" s="13">
        <v>60036.22</v>
      </c>
      <c r="G14" s="13">
        <v>138395.66</v>
      </c>
      <c r="H14" s="8" t="s">
        <v>12</v>
      </c>
      <c r="I14" s="13">
        <v>76293</v>
      </c>
      <c r="J14" t="str">
        <f t="shared" si="4"/>
        <v>TechMart</v>
      </c>
      <c r="K14" s="13">
        <f t="shared" si="4"/>
        <v>196106.3</v>
      </c>
      <c r="L14" t="str">
        <f t="shared" si="5"/>
        <v>North Africa</v>
      </c>
      <c r="M14" s="13">
        <f t="shared" si="5"/>
        <v>730963.9700000002</v>
      </c>
      <c r="P14" s="8">
        <v>17</v>
      </c>
      <c r="Q14" s="13">
        <v>42211.44</v>
      </c>
      <c r="R14">
        <f t="shared" si="0"/>
        <v>17</v>
      </c>
      <c r="S14" s="13">
        <f t="shared" si="1"/>
        <v>42211.44</v>
      </c>
      <c r="T14" s="8" t="s">
        <v>25</v>
      </c>
      <c r="U14" s="13">
        <v>9440.25</v>
      </c>
      <c r="V14" t="str">
        <f t="shared" si="2"/>
        <v>Qatar</v>
      </c>
      <c r="W14" s="13">
        <f t="shared" si="3"/>
        <v>9440.25</v>
      </c>
    </row>
    <row r="15" spans="1:23" x14ac:dyDescent="0.25">
      <c r="C15" s="8" t="s">
        <v>73</v>
      </c>
      <c r="D15" s="13"/>
      <c r="E15" s="13"/>
      <c r="F15" s="13">
        <v>911.36</v>
      </c>
      <c r="G15" s="13">
        <v>36515.67</v>
      </c>
      <c r="H15" s="8" t="s">
        <v>69</v>
      </c>
      <c r="I15" s="13">
        <v>74310.06</v>
      </c>
      <c r="J15" t="str">
        <f t="shared" si="4"/>
        <v>CityEssentials</v>
      </c>
      <c r="K15" s="13">
        <f t="shared" si="4"/>
        <v>92095.82</v>
      </c>
      <c r="P15" s="8">
        <v>19</v>
      </c>
      <c r="Q15" s="13">
        <v>42854.05</v>
      </c>
      <c r="R15">
        <f t="shared" si="0"/>
        <v>19</v>
      </c>
      <c r="S15" s="13">
        <f t="shared" si="1"/>
        <v>42854.05</v>
      </c>
      <c r="T15" s="8" t="s">
        <v>8</v>
      </c>
      <c r="U15" s="13">
        <v>35463.389999999992</v>
      </c>
      <c r="V15" t="str">
        <f t="shared" si="2"/>
        <v>Saudi Arabia</v>
      </c>
      <c r="W15" s="13">
        <f t="shared" si="3"/>
        <v>35463.389999999992</v>
      </c>
    </row>
    <row r="16" spans="1:23" x14ac:dyDescent="0.25">
      <c r="H16" s="8" t="s">
        <v>52</v>
      </c>
      <c r="I16" s="13">
        <v>67928.999999999985</v>
      </c>
      <c r="P16" s="8">
        <v>20</v>
      </c>
      <c r="Q16" s="13">
        <v>48980.51</v>
      </c>
      <c r="R16">
        <f t="shared" si="0"/>
        <v>20</v>
      </c>
      <c r="S16" s="13">
        <f t="shared" si="1"/>
        <v>48980.51</v>
      </c>
      <c r="T16" s="8" t="s">
        <v>83</v>
      </c>
      <c r="U16" s="13">
        <v>26699.61</v>
      </c>
      <c r="V16" t="str">
        <f t="shared" si="2"/>
        <v>South Sudan</v>
      </c>
      <c r="W16" s="13">
        <f t="shared" si="3"/>
        <v>26699.61</v>
      </c>
    </row>
    <row r="17" spans="3:23" x14ac:dyDescent="0.25">
      <c r="C17" t="str">
        <f>C3</f>
        <v>Row Labels</v>
      </c>
      <c r="D17" t="str">
        <f t="shared" ref="D17:G17" si="6">D3</f>
        <v>Horn of Africa</v>
      </c>
      <c r="E17" t="str">
        <f t="shared" si="6"/>
        <v>Levant</v>
      </c>
      <c r="F17" t="str">
        <f t="shared" si="6"/>
        <v>Middle East</v>
      </c>
      <c r="G17" t="str">
        <f t="shared" si="6"/>
        <v>North Africa</v>
      </c>
      <c r="H17" s="8" t="s">
        <v>60</v>
      </c>
      <c r="I17" s="13">
        <v>65996.799999999988</v>
      </c>
      <c r="P17" s="8">
        <v>21</v>
      </c>
      <c r="Q17" s="13">
        <v>12459.98</v>
      </c>
      <c r="R17">
        <f t="shared" si="0"/>
        <v>21</v>
      </c>
      <c r="S17" s="13">
        <f t="shared" si="1"/>
        <v>12459.98</v>
      </c>
      <c r="T17" s="8" t="s">
        <v>82</v>
      </c>
      <c r="U17" s="13">
        <v>66776.2</v>
      </c>
      <c r="V17" t="str">
        <f t="shared" si="2"/>
        <v>Sudan</v>
      </c>
      <c r="W17" s="13">
        <f t="shared" si="3"/>
        <v>66776.2</v>
      </c>
    </row>
    <row r="18" spans="3:23" x14ac:dyDescent="0.25">
      <c r="C18" t="str">
        <f t="shared" ref="C18:G18" si="7">C4</f>
        <v>January</v>
      </c>
      <c r="D18">
        <f t="shared" si="7"/>
        <v>0</v>
      </c>
      <c r="E18">
        <f t="shared" si="7"/>
        <v>6316.05</v>
      </c>
      <c r="F18">
        <f t="shared" si="7"/>
        <v>8104.52</v>
      </c>
      <c r="G18">
        <f t="shared" si="7"/>
        <v>26257.02</v>
      </c>
      <c r="H18" s="8" t="s">
        <v>23</v>
      </c>
      <c r="I18" s="13">
        <v>45520.15</v>
      </c>
      <c r="P18" s="8">
        <v>22</v>
      </c>
      <c r="Q18" s="13">
        <v>15722.91</v>
      </c>
      <c r="R18">
        <f t="shared" si="0"/>
        <v>22</v>
      </c>
      <c r="S18" s="13">
        <f t="shared" si="1"/>
        <v>15722.91</v>
      </c>
      <c r="T18" s="8" t="s">
        <v>79</v>
      </c>
      <c r="U18" s="13">
        <v>911.36</v>
      </c>
      <c r="V18" t="str">
        <f t="shared" si="2"/>
        <v>Syria</v>
      </c>
      <c r="W18" s="13">
        <f t="shared" si="3"/>
        <v>911.36</v>
      </c>
    </row>
    <row r="19" spans="3:23" x14ac:dyDescent="0.25">
      <c r="C19" t="str">
        <f t="shared" ref="C19:G19" si="8">C5</f>
        <v>February</v>
      </c>
      <c r="D19">
        <f t="shared" si="8"/>
        <v>0</v>
      </c>
      <c r="E19">
        <f t="shared" si="8"/>
        <v>1449</v>
      </c>
      <c r="F19">
        <f t="shared" si="8"/>
        <v>14298.599999999999</v>
      </c>
      <c r="G19">
        <f t="shared" si="8"/>
        <v>5341.95</v>
      </c>
      <c r="H19" s="8" t="s">
        <v>64</v>
      </c>
      <c r="I19" s="13">
        <v>44238.080000000002</v>
      </c>
      <c r="P19" s="8">
        <v>23</v>
      </c>
      <c r="Q19" s="13">
        <v>26395.84</v>
      </c>
      <c r="R19">
        <f t="shared" si="0"/>
        <v>23</v>
      </c>
      <c r="S19" s="13">
        <f t="shared" si="1"/>
        <v>26395.84</v>
      </c>
      <c r="T19" s="8" t="s">
        <v>55</v>
      </c>
      <c r="U19" s="13">
        <v>55612.81</v>
      </c>
      <c r="V19" t="str">
        <f t="shared" si="2"/>
        <v>Tunisia</v>
      </c>
      <c r="W19" s="13">
        <f t="shared" si="3"/>
        <v>55612.81</v>
      </c>
    </row>
    <row r="20" spans="3:23" x14ac:dyDescent="0.25">
      <c r="C20" t="str">
        <f t="shared" ref="C20:G20" si="9">C6</f>
        <v>March</v>
      </c>
      <c r="D20">
        <f t="shared" si="9"/>
        <v>0</v>
      </c>
      <c r="E20">
        <f t="shared" si="9"/>
        <v>0</v>
      </c>
      <c r="F20">
        <f t="shared" si="9"/>
        <v>2364.8000000000002</v>
      </c>
      <c r="G20">
        <f t="shared" si="9"/>
        <v>73428.06</v>
      </c>
      <c r="H20" s="8" t="s">
        <v>34</v>
      </c>
      <c r="I20" s="13">
        <v>43876.259999999995</v>
      </c>
      <c r="P20" s="8">
        <v>24</v>
      </c>
      <c r="Q20" s="13">
        <v>28944.21</v>
      </c>
      <c r="R20">
        <f t="shared" si="0"/>
        <v>24</v>
      </c>
      <c r="S20" s="13">
        <f t="shared" si="1"/>
        <v>28944.21</v>
      </c>
      <c r="T20" s="8" t="s">
        <v>13</v>
      </c>
      <c r="U20" s="13">
        <v>88738.22</v>
      </c>
      <c r="V20" t="str">
        <f t="shared" si="2"/>
        <v>UAE</v>
      </c>
      <c r="W20" s="13">
        <f t="shared" si="3"/>
        <v>88738.22</v>
      </c>
    </row>
    <row r="21" spans="3:23" x14ac:dyDescent="0.25">
      <c r="C21" t="str">
        <f t="shared" ref="C21:G21" si="10">C7</f>
        <v>April</v>
      </c>
      <c r="D21">
        <f t="shared" si="10"/>
        <v>0</v>
      </c>
      <c r="E21">
        <f t="shared" si="10"/>
        <v>107187.77</v>
      </c>
      <c r="F21">
        <f t="shared" si="10"/>
        <v>41115.82</v>
      </c>
      <c r="G21">
        <f t="shared" si="10"/>
        <v>32971.32</v>
      </c>
      <c r="H21" s="8" t="s">
        <v>61</v>
      </c>
      <c r="I21" s="13">
        <v>41178.479999999996</v>
      </c>
      <c r="P21" s="8">
        <v>25</v>
      </c>
      <c r="Q21" s="13">
        <v>58732.18</v>
      </c>
      <c r="R21">
        <f t="shared" si="0"/>
        <v>25</v>
      </c>
      <c r="S21" s="13">
        <f t="shared" si="1"/>
        <v>58732.18</v>
      </c>
      <c r="T21" s="8" t="s">
        <v>84</v>
      </c>
      <c r="U21" s="13">
        <v>47139.64</v>
      </c>
      <c r="V21" t="str">
        <f t="shared" si="2"/>
        <v>Western Sahara</v>
      </c>
      <c r="W21" s="13">
        <f t="shared" si="3"/>
        <v>47139.64</v>
      </c>
    </row>
    <row r="22" spans="3:23" x14ac:dyDescent="0.25">
      <c r="C22" t="str">
        <f t="shared" ref="C22:G22" si="11">C8</f>
        <v>May</v>
      </c>
      <c r="D22">
        <f t="shared" si="11"/>
        <v>0</v>
      </c>
      <c r="E22">
        <f t="shared" si="11"/>
        <v>57018.810000000005</v>
      </c>
      <c r="F22">
        <f t="shared" si="11"/>
        <v>44386.62</v>
      </c>
      <c r="G22">
        <f t="shared" si="11"/>
        <v>18612.02</v>
      </c>
      <c r="H22" s="8" t="s">
        <v>30</v>
      </c>
      <c r="I22" s="13">
        <v>25233.089999999997</v>
      </c>
      <c r="P22" s="8">
        <v>26</v>
      </c>
      <c r="Q22" s="13">
        <v>46466.869999999995</v>
      </c>
      <c r="R22">
        <f t="shared" si="0"/>
        <v>26</v>
      </c>
      <c r="S22" s="13">
        <f t="shared" si="1"/>
        <v>46466.869999999995</v>
      </c>
      <c r="T22" s="8" t="s">
        <v>80</v>
      </c>
      <c r="U22" s="13">
        <v>8965.25</v>
      </c>
      <c r="V22" t="str">
        <f t="shared" si="2"/>
        <v>Yemen</v>
      </c>
      <c r="W22" s="13">
        <f t="shared" si="3"/>
        <v>8965.25</v>
      </c>
    </row>
    <row r="23" spans="3:23" x14ac:dyDescent="0.25">
      <c r="C23" t="str">
        <f t="shared" ref="C23:G23" si="12">C9</f>
        <v>June</v>
      </c>
      <c r="D23">
        <f t="shared" si="12"/>
        <v>0</v>
      </c>
      <c r="E23">
        <f t="shared" si="12"/>
        <v>44028.3</v>
      </c>
      <c r="F23">
        <f t="shared" si="12"/>
        <v>56329.919999999998</v>
      </c>
      <c r="G23">
        <f t="shared" si="12"/>
        <v>60180.880000000005</v>
      </c>
      <c r="H23" s="8" t="s">
        <v>66</v>
      </c>
      <c r="I23" s="13">
        <v>10354.039999999999</v>
      </c>
      <c r="P23" s="8">
        <v>27</v>
      </c>
      <c r="Q23" s="13">
        <v>27303.4</v>
      </c>
      <c r="R23">
        <f t="shared" si="0"/>
        <v>27</v>
      </c>
      <c r="S23" s="13">
        <f t="shared" si="1"/>
        <v>27303.4</v>
      </c>
      <c r="W23" s="13"/>
    </row>
    <row r="24" spans="3:23" x14ac:dyDescent="0.25">
      <c r="C24" t="str">
        <f t="shared" ref="C24:G24" si="13">C10</f>
        <v>July</v>
      </c>
      <c r="D24">
        <f t="shared" si="13"/>
        <v>31943.269999999997</v>
      </c>
      <c r="E24">
        <f t="shared" si="13"/>
        <v>0</v>
      </c>
      <c r="F24">
        <f t="shared" si="13"/>
        <v>32470.95</v>
      </c>
      <c r="G24">
        <f t="shared" si="13"/>
        <v>124456.98999999999</v>
      </c>
      <c r="H24" s="8" t="s">
        <v>20</v>
      </c>
      <c r="I24" s="13">
        <v>8186.579999999999</v>
      </c>
      <c r="P24" s="8">
        <v>28</v>
      </c>
      <c r="Q24" s="13">
        <v>22301.739999999998</v>
      </c>
      <c r="R24">
        <f t="shared" si="0"/>
        <v>28</v>
      </c>
      <c r="S24" s="13">
        <f t="shared" si="1"/>
        <v>22301.739999999998</v>
      </c>
      <c r="W24" s="13"/>
    </row>
    <row r="25" spans="3:23" x14ac:dyDescent="0.25">
      <c r="C25" t="str">
        <f t="shared" ref="C25:G25" si="14">C11</f>
        <v>August</v>
      </c>
      <c r="D25">
        <f t="shared" si="14"/>
        <v>0</v>
      </c>
      <c r="E25">
        <f t="shared" si="14"/>
        <v>0</v>
      </c>
      <c r="F25">
        <f t="shared" si="14"/>
        <v>46550</v>
      </c>
      <c r="G25">
        <f t="shared" si="14"/>
        <v>67998.080000000002</v>
      </c>
      <c r="H25" t="s">
        <v>89</v>
      </c>
      <c r="I25" t="s">
        <v>90</v>
      </c>
      <c r="P25" s="8">
        <v>29</v>
      </c>
      <c r="Q25" s="13">
        <v>71390.76999999999</v>
      </c>
      <c r="R25">
        <f t="shared" si="0"/>
        <v>29</v>
      </c>
      <c r="S25" s="13">
        <f t="shared" si="1"/>
        <v>71390.76999999999</v>
      </c>
      <c r="W25" s="13"/>
    </row>
    <row r="26" spans="3:23" x14ac:dyDescent="0.25">
      <c r="C26" t="str">
        <f t="shared" ref="C26:G26" si="15">C12</f>
        <v>September</v>
      </c>
      <c r="D26">
        <f t="shared" si="15"/>
        <v>61532.54</v>
      </c>
      <c r="E26">
        <f t="shared" si="15"/>
        <v>0</v>
      </c>
      <c r="F26">
        <f t="shared" si="15"/>
        <v>24293.119999999999</v>
      </c>
      <c r="G26">
        <f t="shared" si="15"/>
        <v>82889.399999999994</v>
      </c>
      <c r="P26" s="8">
        <v>30</v>
      </c>
      <c r="Q26" s="13">
        <v>39885.11</v>
      </c>
      <c r="R26">
        <f t="shared" si="0"/>
        <v>30</v>
      </c>
      <c r="S26" s="13">
        <f t="shared" si="1"/>
        <v>39885.11</v>
      </c>
      <c r="W26" s="13"/>
    </row>
    <row r="27" spans="3:23" x14ac:dyDescent="0.25">
      <c r="C27" t="str">
        <f t="shared" ref="C27:G27" si="16">C13</f>
        <v>October</v>
      </c>
      <c r="D27">
        <f t="shared" si="16"/>
        <v>0</v>
      </c>
      <c r="E27">
        <f t="shared" si="16"/>
        <v>0</v>
      </c>
      <c r="F27">
        <f t="shared" si="16"/>
        <v>34104.870000000003</v>
      </c>
      <c r="G27">
        <f t="shared" si="16"/>
        <v>63916.92</v>
      </c>
      <c r="H27" s="17" t="str">
        <f t="shared" ref="H27:I36" si="17">H5</f>
        <v>Router</v>
      </c>
      <c r="I27" s="13">
        <f t="shared" si="17"/>
        <v>133188.24999999997</v>
      </c>
      <c r="P27" s="8">
        <v>31</v>
      </c>
      <c r="Q27" s="13">
        <v>74540.19</v>
      </c>
      <c r="R27">
        <f t="shared" si="0"/>
        <v>31</v>
      </c>
      <c r="S27" s="13">
        <f t="shared" si="1"/>
        <v>74540.19</v>
      </c>
      <c r="W27" s="13"/>
    </row>
    <row r="28" spans="3:23" x14ac:dyDescent="0.25">
      <c r="C28" t="str">
        <f t="shared" ref="C28:G28" si="18">C14</f>
        <v>November</v>
      </c>
      <c r="D28">
        <f t="shared" si="18"/>
        <v>0</v>
      </c>
      <c r="E28">
        <f t="shared" si="18"/>
        <v>0</v>
      </c>
      <c r="F28">
        <f t="shared" si="18"/>
        <v>60036.22</v>
      </c>
      <c r="G28">
        <f t="shared" si="18"/>
        <v>138395.66</v>
      </c>
      <c r="H28" s="17" t="str">
        <f t="shared" si="17"/>
        <v>External Hard Drive</v>
      </c>
      <c r="I28" s="13">
        <f t="shared" si="17"/>
        <v>114197.98999999999</v>
      </c>
      <c r="P28" s="8">
        <v>32</v>
      </c>
      <c r="Q28" s="13">
        <v>67998.080000000002</v>
      </c>
      <c r="R28">
        <f t="shared" si="0"/>
        <v>32</v>
      </c>
      <c r="S28" s="13">
        <f t="shared" si="1"/>
        <v>67998.080000000002</v>
      </c>
      <c r="W28" s="13"/>
    </row>
    <row r="29" spans="3:23" x14ac:dyDescent="0.25">
      <c r="C29" t="str">
        <f t="shared" ref="C29:G29" si="19">C15</f>
        <v>December</v>
      </c>
      <c r="D29">
        <f t="shared" si="19"/>
        <v>0</v>
      </c>
      <c r="E29">
        <f t="shared" si="19"/>
        <v>0</v>
      </c>
      <c r="F29">
        <f t="shared" si="19"/>
        <v>911.36</v>
      </c>
      <c r="G29">
        <f t="shared" si="19"/>
        <v>36515.67</v>
      </c>
      <c r="H29" s="17" t="str">
        <f t="shared" si="17"/>
        <v>Bluetooth Speaker</v>
      </c>
      <c r="I29" s="13">
        <f t="shared" si="17"/>
        <v>109271.89</v>
      </c>
      <c r="P29" s="8">
        <v>36</v>
      </c>
      <c r="Q29" s="13">
        <v>18257.439999999999</v>
      </c>
      <c r="R29">
        <f t="shared" si="0"/>
        <v>36</v>
      </c>
      <c r="S29" s="13">
        <f t="shared" si="1"/>
        <v>18257.439999999999</v>
      </c>
      <c r="W29" s="13"/>
    </row>
    <row r="30" spans="3:23" x14ac:dyDescent="0.25">
      <c r="H30" s="17" t="str">
        <f t="shared" si="17"/>
        <v>Desk Lamp</v>
      </c>
      <c r="I30" s="13">
        <f t="shared" si="17"/>
        <v>102458.74999999999</v>
      </c>
      <c r="P30" s="8">
        <v>38</v>
      </c>
      <c r="Q30" s="13">
        <v>49971.24</v>
      </c>
      <c r="R30">
        <f t="shared" si="0"/>
        <v>38</v>
      </c>
      <c r="S30" s="13">
        <f t="shared" si="1"/>
        <v>49971.24</v>
      </c>
      <c r="W30" s="13"/>
    </row>
    <row r="31" spans="3:23" x14ac:dyDescent="0.25">
      <c r="H31" s="17" t="str">
        <f t="shared" si="17"/>
        <v>Tablet</v>
      </c>
      <c r="I31" s="13">
        <f t="shared" si="17"/>
        <v>98651.650000000009</v>
      </c>
      <c r="P31" s="8">
        <v>39</v>
      </c>
      <c r="Q31" s="13">
        <v>84499.66</v>
      </c>
      <c r="R31">
        <f t="shared" si="0"/>
        <v>39</v>
      </c>
      <c r="S31" s="13">
        <f t="shared" si="1"/>
        <v>84499.66</v>
      </c>
      <c r="W31" s="13"/>
    </row>
    <row r="32" spans="3:23" x14ac:dyDescent="0.25">
      <c r="H32" s="17" t="str">
        <f t="shared" si="17"/>
        <v>Portable SSD</v>
      </c>
      <c r="I32" s="13">
        <f t="shared" si="17"/>
        <v>93719.87999999999</v>
      </c>
      <c r="P32" s="8">
        <v>40</v>
      </c>
      <c r="Q32" s="13">
        <v>15986.720000000001</v>
      </c>
      <c r="R32">
        <f t="shared" si="0"/>
        <v>40</v>
      </c>
      <c r="S32" s="13">
        <f t="shared" si="1"/>
        <v>15986.720000000001</v>
      </c>
      <c r="W32" s="13"/>
    </row>
    <row r="33" spans="8:23" x14ac:dyDescent="0.25">
      <c r="H33" s="17" t="str">
        <f t="shared" si="17"/>
        <v>Headphones</v>
      </c>
      <c r="I33" s="13">
        <f t="shared" si="17"/>
        <v>90446.549999999988</v>
      </c>
      <c r="P33" s="8">
        <v>41</v>
      </c>
      <c r="Q33" s="13">
        <v>30980.519999999997</v>
      </c>
      <c r="R33">
        <f t="shared" si="0"/>
        <v>41</v>
      </c>
      <c r="S33" s="13">
        <f t="shared" si="1"/>
        <v>30980.519999999997</v>
      </c>
      <c r="W33" s="13"/>
    </row>
    <row r="34" spans="8:23" x14ac:dyDescent="0.25">
      <c r="H34" s="17" t="str">
        <f t="shared" si="17"/>
        <v>Printer</v>
      </c>
      <c r="I34" s="13">
        <f t="shared" si="17"/>
        <v>82443.009999999995</v>
      </c>
      <c r="P34" s="8">
        <v>42</v>
      </c>
      <c r="Q34" s="13">
        <v>34104.870000000003</v>
      </c>
      <c r="R34">
        <f t="shared" si="0"/>
        <v>42</v>
      </c>
      <c r="S34" s="13">
        <f t="shared" si="1"/>
        <v>34104.870000000003</v>
      </c>
      <c r="W34" s="13"/>
    </row>
    <row r="35" spans="8:23" x14ac:dyDescent="0.25">
      <c r="H35" s="17" t="str">
        <f t="shared" si="17"/>
        <v>Laptop</v>
      </c>
      <c r="I35" s="13">
        <f t="shared" si="17"/>
        <v>77913</v>
      </c>
      <c r="P35" s="8">
        <v>43</v>
      </c>
      <c r="Q35" s="13">
        <v>32936.400000000001</v>
      </c>
      <c r="R35">
        <f t="shared" si="0"/>
        <v>43</v>
      </c>
      <c r="S35" s="13">
        <f t="shared" si="1"/>
        <v>32936.400000000001</v>
      </c>
      <c r="W35" s="13"/>
    </row>
    <row r="36" spans="8:23" x14ac:dyDescent="0.25">
      <c r="H36" s="17" t="str">
        <f t="shared" si="17"/>
        <v>Keyboard</v>
      </c>
      <c r="I36" s="13">
        <f t="shared" si="17"/>
        <v>76293</v>
      </c>
      <c r="J36" s="13"/>
      <c r="P36" s="8">
        <v>44</v>
      </c>
      <c r="Q36" s="13">
        <v>4225.32</v>
      </c>
      <c r="R36">
        <f t="shared" si="0"/>
        <v>44</v>
      </c>
      <c r="S36" s="13">
        <f t="shared" si="1"/>
        <v>4225.32</v>
      </c>
      <c r="W36" s="13"/>
    </row>
    <row r="37" spans="8:23" x14ac:dyDescent="0.25">
      <c r="I37" s="17"/>
      <c r="J37" s="13"/>
      <c r="P37" s="8">
        <v>45</v>
      </c>
      <c r="Q37" s="13">
        <v>16812.07</v>
      </c>
      <c r="R37">
        <f t="shared" si="0"/>
        <v>45</v>
      </c>
      <c r="S37" s="13">
        <f t="shared" si="1"/>
        <v>16812.07</v>
      </c>
      <c r="W37" s="13"/>
    </row>
    <row r="38" spans="8:23" x14ac:dyDescent="0.25">
      <c r="I38" s="17"/>
      <c r="J38" s="13"/>
      <c r="P38" s="8">
        <v>46</v>
      </c>
      <c r="Q38" s="13">
        <v>25028.19</v>
      </c>
      <c r="R38">
        <f t="shared" si="0"/>
        <v>46</v>
      </c>
      <c r="S38" s="13">
        <f t="shared" si="1"/>
        <v>25028.19</v>
      </c>
      <c r="W38" s="13"/>
    </row>
    <row r="39" spans="8:23" x14ac:dyDescent="0.25">
      <c r="I39" s="17"/>
      <c r="J39" s="13"/>
      <c r="P39" s="8">
        <v>47</v>
      </c>
      <c r="Q39" s="13">
        <v>54305.520000000004</v>
      </c>
      <c r="R39">
        <f t="shared" si="0"/>
        <v>47</v>
      </c>
      <c r="S39" s="13">
        <f t="shared" si="1"/>
        <v>54305.520000000004</v>
      </c>
      <c r="W39" s="13"/>
    </row>
    <row r="40" spans="8:23" x14ac:dyDescent="0.25">
      <c r="P40" s="8">
        <v>48</v>
      </c>
      <c r="Q40" s="13">
        <v>98060.78</v>
      </c>
      <c r="R40">
        <f t="shared" si="0"/>
        <v>48</v>
      </c>
      <c r="S40" s="13">
        <f t="shared" si="1"/>
        <v>98060.78</v>
      </c>
      <c r="W40" s="13"/>
    </row>
    <row r="41" spans="8:23" x14ac:dyDescent="0.25">
      <c r="P41" s="8">
        <v>50</v>
      </c>
      <c r="Q41" s="13">
        <v>7727.6099999999988</v>
      </c>
      <c r="R41">
        <f t="shared" si="0"/>
        <v>50</v>
      </c>
      <c r="S41" s="13">
        <f t="shared" si="1"/>
        <v>7727.6099999999988</v>
      </c>
      <c r="W41" s="13"/>
    </row>
    <row r="42" spans="8:23" x14ac:dyDescent="0.25">
      <c r="P42" s="8">
        <v>51</v>
      </c>
      <c r="Q42" s="13">
        <v>29699.42</v>
      </c>
      <c r="R42">
        <f t="shared" si="0"/>
        <v>51</v>
      </c>
      <c r="S42" s="13">
        <f t="shared" si="1"/>
        <v>29699.42</v>
      </c>
      <c r="W42" s="13"/>
    </row>
  </sheetData>
  <pageMargins left="0.7" right="0.7" top="0.75" bottom="0.75" header="0.3" footer="0.3"/>
  <pageSetup paperSize="9" orientation="portrait" r:id="rId8"/>
  <tableParts count="6">
    <tablePart r:id="rId9"/>
    <tablePart r:id="rId10"/>
    <tablePart r:id="rId11"/>
    <tablePart r:id="rId12"/>
    <tablePart r:id="rId13"/>
    <tablePart r:id="rId14"/>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60DA68-6E76-451A-8306-2274127BD9BA}">
  <sheetPr codeName="Sheet1">
    <tabColor rgb="FF00B050"/>
  </sheetPr>
  <dimension ref="A1:L1048576"/>
  <sheetViews>
    <sheetView zoomScale="145" zoomScaleNormal="145" workbookViewId="0">
      <pane ySplit="1" topLeftCell="A89" activePane="bottomLeft" state="frozen"/>
      <selection pane="bottomLeft" activeCell="F100" sqref="F100"/>
    </sheetView>
  </sheetViews>
  <sheetFormatPr defaultRowHeight="15" x14ac:dyDescent="0.25"/>
  <cols>
    <col min="1" max="1" width="5.5703125" style="2" customWidth="1"/>
    <col min="2" max="2" width="11.28515625" style="2" bestFit="1" customWidth="1"/>
    <col min="3" max="3" width="14.28515625" style="8" bestFit="1" customWidth="1"/>
    <col min="4" max="4" width="18.28515625" style="8" bestFit="1" customWidth="1"/>
    <col min="5" max="5" width="9.7109375" style="5" bestFit="1" customWidth="1"/>
    <col min="6" max="6" width="8.7109375" style="2" bestFit="1" customWidth="1"/>
    <col min="7" max="7" width="11.7109375" style="5" bestFit="1" customWidth="1"/>
    <col min="8" max="8" width="10.85546875" style="5" bestFit="1" customWidth="1"/>
    <col min="9" max="9" width="14.140625" style="8" bestFit="1" customWidth="1"/>
    <col min="10" max="10" width="13.28515625" style="8" bestFit="1" customWidth="1"/>
    <col min="11" max="11" width="13.140625" style="2" customWidth="1"/>
    <col min="12" max="12" width="9.7109375" style="2" customWidth="1"/>
  </cols>
  <sheetData>
    <row r="1" spans="1:12" s="11" customFormat="1" ht="36" customHeight="1" x14ac:dyDescent="0.25">
      <c r="A1" s="6" t="s">
        <v>31</v>
      </c>
      <c r="B1" s="6" t="s">
        <v>0</v>
      </c>
      <c r="C1" s="6" t="s">
        <v>1</v>
      </c>
      <c r="D1" s="6" t="s">
        <v>2</v>
      </c>
      <c r="E1" s="7" t="s">
        <v>56</v>
      </c>
      <c r="F1" s="6" t="s">
        <v>3</v>
      </c>
      <c r="G1" s="7" t="s">
        <v>57</v>
      </c>
      <c r="H1" s="7" t="s">
        <v>58</v>
      </c>
      <c r="I1" s="6" t="s">
        <v>4</v>
      </c>
      <c r="J1" s="6" t="s">
        <v>5</v>
      </c>
      <c r="K1" s="6" t="s">
        <v>6</v>
      </c>
      <c r="L1" s="6" t="s">
        <v>59</v>
      </c>
    </row>
    <row r="2" spans="1:12" x14ac:dyDescent="0.25">
      <c r="A2" s="3">
        <v>1</v>
      </c>
      <c r="B2" s="1">
        <v>46023</v>
      </c>
      <c r="C2" s="9" t="s">
        <v>7</v>
      </c>
      <c r="D2" s="10" t="s">
        <v>12</v>
      </c>
      <c r="E2" s="4">
        <v>108.87</v>
      </c>
      <c r="F2" s="3">
        <v>71</v>
      </c>
      <c r="G2" s="4">
        <f>E2*F2</f>
        <v>7729.77</v>
      </c>
      <c r="H2" s="4">
        <v>1555.91</v>
      </c>
      <c r="I2" s="9" t="s">
        <v>8</v>
      </c>
      <c r="J2" s="9" t="s">
        <v>9</v>
      </c>
      <c r="K2" s="3" t="s">
        <v>10</v>
      </c>
      <c r="L2" s="3">
        <v>1</v>
      </c>
    </row>
    <row r="3" spans="1:12" x14ac:dyDescent="0.25">
      <c r="A3" s="3">
        <v>2</v>
      </c>
      <c r="B3" s="1">
        <v>46024</v>
      </c>
      <c r="C3" s="9" t="s">
        <v>11</v>
      </c>
      <c r="D3" s="10" t="s">
        <v>27</v>
      </c>
      <c r="E3" s="4">
        <v>14.99</v>
      </c>
      <c r="F3" s="3">
        <v>25</v>
      </c>
      <c r="G3" s="4">
        <f t="shared" ref="G3:G66" si="0">E3*F3</f>
        <v>374.75</v>
      </c>
      <c r="H3" s="4">
        <v>41.96</v>
      </c>
      <c r="I3" s="9" t="s">
        <v>13</v>
      </c>
      <c r="J3" s="9" t="s">
        <v>9</v>
      </c>
      <c r="K3" s="3" t="s">
        <v>10</v>
      </c>
      <c r="L3" s="3">
        <v>1</v>
      </c>
    </row>
    <row r="4" spans="1:12" x14ac:dyDescent="0.25">
      <c r="A4" s="3">
        <v>3</v>
      </c>
      <c r="B4" s="1">
        <v>46027</v>
      </c>
      <c r="C4" s="9" t="s">
        <v>14</v>
      </c>
      <c r="D4" s="10" t="s">
        <v>60</v>
      </c>
      <c r="E4" s="4">
        <v>279.74</v>
      </c>
      <c r="F4" s="3">
        <v>9</v>
      </c>
      <c r="G4" s="4">
        <f t="shared" si="0"/>
        <v>2517.66</v>
      </c>
      <c r="H4" s="4">
        <v>597.76</v>
      </c>
      <c r="I4" s="9" t="s">
        <v>16</v>
      </c>
      <c r="J4" s="9" t="s">
        <v>17</v>
      </c>
      <c r="K4" s="3" t="s">
        <v>10</v>
      </c>
      <c r="L4" s="3">
        <v>2</v>
      </c>
    </row>
    <row r="5" spans="1:12" x14ac:dyDescent="0.25">
      <c r="A5" s="3">
        <v>4</v>
      </c>
      <c r="B5" s="1">
        <v>46030</v>
      </c>
      <c r="C5" s="9" t="s">
        <v>7</v>
      </c>
      <c r="D5" s="10" t="s">
        <v>61</v>
      </c>
      <c r="E5" s="4">
        <v>494.57</v>
      </c>
      <c r="F5" s="3">
        <v>48</v>
      </c>
      <c r="G5" s="4">
        <f t="shared" si="0"/>
        <v>23739.360000000001</v>
      </c>
      <c r="H5" s="4">
        <v>5261.71</v>
      </c>
      <c r="I5" s="9" t="s">
        <v>18</v>
      </c>
      <c r="J5" s="9" t="s">
        <v>17</v>
      </c>
      <c r="K5" s="3" t="s">
        <v>10</v>
      </c>
      <c r="L5" s="3">
        <v>2</v>
      </c>
    </row>
    <row r="6" spans="1:12" x14ac:dyDescent="0.25">
      <c r="A6" s="3">
        <v>5</v>
      </c>
      <c r="B6" s="1">
        <v>46032</v>
      </c>
      <c r="C6" s="9" t="s">
        <v>19</v>
      </c>
      <c r="D6" s="10" t="s">
        <v>62</v>
      </c>
      <c r="E6" s="4">
        <v>154.05000000000001</v>
      </c>
      <c r="F6" s="3">
        <v>41</v>
      </c>
      <c r="G6" s="4">
        <f t="shared" si="0"/>
        <v>6316.05</v>
      </c>
      <c r="H6" s="4">
        <v>1530.86</v>
      </c>
      <c r="I6" s="9" t="s">
        <v>21</v>
      </c>
      <c r="J6" s="9" t="s">
        <v>22</v>
      </c>
      <c r="K6" s="3" t="s">
        <v>10</v>
      </c>
      <c r="L6" s="3">
        <v>2</v>
      </c>
    </row>
    <row r="7" spans="1:12" x14ac:dyDescent="0.25">
      <c r="A7" s="3">
        <v>6</v>
      </c>
      <c r="B7" s="1">
        <v>46054</v>
      </c>
      <c r="C7" s="9" t="s">
        <v>11</v>
      </c>
      <c r="D7" s="10" t="s">
        <v>12</v>
      </c>
      <c r="E7" s="4">
        <v>118.71</v>
      </c>
      <c r="F7" s="3">
        <v>45</v>
      </c>
      <c r="G7" s="4">
        <f t="shared" si="0"/>
        <v>5341.95</v>
      </c>
      <c r="H7" s="4">
        <v>1598.26</v>
      </c>
      <c r="I7" s="9" t="s">
        <v>16</v>
      </c>
      <c r="J7" s="9" t="s">
        <v>17</v>
      </c>
      <c r="K7" s="3" t="s">
        <v>29</v>
      </c>
      <c r="L7" s="3">
        <v>5</v>
      </c>
    </row>
    <row r="8" spans="1:12" x14ac:dyDescent="0.25">
      <c r="A8" s="3">
        <v>7</v>
      </c>
      <c r="B8" s="1">
        <v>46056</v>
      </c>
      <c r="C8" s="9" t="s">
        <v>14</v>
      </c>
      <c r="D8" s="10" t="s">
        <v>12</v>
      </c>
      <c r="E8" s="4">
        <v>41.4</v>
      </c>
      <c r="F8" s="3">
        <v>35</v>
      </c>
      <c r="G8" s="4">
        <f t="shared" si="0"/>
        <v>1449</v>
      </c>
      <c r="H8" s="4">
        <v>167.95</v>
      </c>
      <c r="I8" s="9" t="s">
        <v>54</v>
      </c>
      <c r="J8" s="9" t="s">
        <v>22</v>
      </c>
      <c r="K8" s="3" t="s">
        <v>29</v>
      </c>
      <c r="L8" s="3">
        <v>6</v>
      </c>
    </row>
    <row r="9" spans="1:12" x14ac:dyDescent="0.25">
      <c r="A9" s="3">
        <v>8</v>
      </c>
      <c r="B9" s="1">
        <v>46060</v>
      </c>
      <c r="C9" s="9" t="s">
        <v>19</v>
      </c>
      <c r="D9" s="10" t="s">
        <v>63</v>
      </c>
      <c r="E9" s="4">
        <v>230.25</v>
      </c>
      <c r="F9" s="3">
        <v>41</v>
      </c>
      <c r="G9" s="4">
        <f t="shared" si="0"/>
        <v>9440.25</v>
      </c>
      <c r="H9" s="4">
        <v>1306.6400000000001</v>
      </c>
      <c r="I9" s="9" t="s">
        <v>25</v>
      </c>
      <c r="J9" s="9" t="s">
        <v>9</v>
      </c>
      <c r="K9" s="3" t="s">
        <v>29</v>
      </c>
      <c r="L9" s="3">
        <v>6</v>
      </c>
    </row>
    <row r="10" spans="1:12" x14ac:dyDescent="0.25">
      <c r="A10" s="3">
        <v>9</v>
      </c>
      <c r="B10" s="1">
        <v>46063</v>
      </c>
      <c r="C10" s="9" t="s">
        <v>7</v>
      </c>
      <c r="D10" s="10" t="s">
        <v>12</v>
      </c>
      <c r="E10" s="4">
        <v>323.89</v>
      </c>
      <c r="F10" s="3">
        <v>15</v>
      </c>
      <c r="G10" s="4">
        <f t="shared" si="0"/>
        <v>4858.3499999999995</v>
      </c>
      <c r="H10" s="4">
        <v>1044.9000000000001</v>
      </c>
      <c r="I10" s="9" t="s">
        <v>8</v>
      </c>
      <c r="J10" s="9" t="s">
        <v>9</v>
      </c>
      <c r="K10" s="3" t="s">
        <v>29</v>
      </c>
      <c r="L10" s="3">
        <v>7</v>
      </c>
    </row>
    <row r="11" spans="1:12" x14ac:dyDescent="0.25">
      <c r="A11" s="3">
        <v>10</v>
      </c>
      <c r="B11" s="1">
        <v>46082</v>
      </c>
      <c r="C11" s="9" t="s">
        <v>11</v>
      </c>
      <c r="D11" s="10" t="s">
        <v>64</v>
      </c>
      <c r="E11" s="4">
        <v>73.900000000000006</v>
      </c>
      <c r="F11" s="3">
        <v>32</v>
      </c>
      <c r="G11" s="4">
        <f t="shared" si="0"/>
        <v>2364.8000000000002</v>
      </c>
      <c r="H11" s="4">
        <v>649.15</v>
      </c>
      <c r="I11" s="9" t="s">
        <v>13</v>
      </c>
      <c r="J11" s="9" t="s">
        <v>9</v>
      </c>
      <c r="K11" s="3" t="s">
        <v>32</v>
      </c>
      <c r="L11" s="3">
        <v>9</v>
      </c>
    </row>
    <row r="12" spans="1:12" x14ac:dyDescent="0.25">
      <c r="A12" s="3">
        <v>11</v>
      </c>
      <c r="B12" s="1">
        <v>46085</v>
      </c>
      <c r="C12" s="9" t="s">
        <v>14</v>
      </c>
      <c r="D12" s="10" t="s">
        <v>65</v>
      </c>
      <c r="E12" s="4">
        <v>256.13</v>
      </c>
      <c r="F12" s="3">
        <v>23</v>
      </c>
      <c r="G12" s="4">
        <f t="shared" si="0"/>
        <v>5890.99</v>
      </c>
      <c r="H12" s="4">
        <v>1647.48</v>
      </c>
      <c r="I12" s="9" t="s">
        <v>16</v>
      </c>
      <c r="J12" s="9" t="s">
        <v>17</v>
      </c>
      <c r="K12" s="3" t="s">
        <v>32</v>
      </c>
      <c r="L12" s="3">
        <v>10</v>
      </c>
    </row>
    <row r="13" spans="1:12" x14ac:dyDescent="0.25">
      <c r="A13" s="3">
        <v>12</v>
      </c>
      <c r="B13" s="1">
        <v>46087</v>
      </c>
      <c r="C13" s="9" t="s">
        <v>7</v>
      </c>
      <c r="D13" s="10" t="s">
        <v>60</v>
      </c>
      <c r="E13" s="4">
        <v>347.78</v>
      </c>
      <c r="F13" s="3">
        <v>65</v>
      </c>
      <c r="G13" s="4">
        <f t="shared" si="0"/>
        <v>22605.699999999997</v>
      </c>
      <c r="H13" s="4">
        <v>5907.7</v>
      </c>
      <c r="I13" s="9" t="s">
        <v>18</v>
      </c>
      <c r="J13" s="9" t="s">
        <v>17</v>
      </c>
      <c r="K13" s="3" t="s">
        <v>32</v>
      </c>
      <c r="L13" s="3">
        <v>10</v>
      </c>
    </row>
    <row r="14" spans="1:12" x14ac:dyDescent="0.25">
      <c r="A14" s="3">
        <v>13</v>
      </c>
      <c r="B14" s="1">
        <v>46089</v>
      </c>
      <c r="C14" s="9" t="s">
        <v>11</v>
      </c>
      <c r="D14" s="10" t="s">
        <v>26</v>
      </c>
      <c r="E14" s="4">
        <v>463.21</v>
      </c>
      <c r="F14" s="3">
        <v>97</v>
      </c>
      <c r="G14" s="4">
        <f t="shared" si="0"/>
        <v>44931.369999999995</v>
      </c>
      <c r="H14" s="4">
        <v>9210.31</v>
      </c>
      <c r="I14" s="9" t="s">
        <v>16</v>
      </c>
      <c r="J14" s="9" t="s">
        <v>17</v>
      </c>
      <c r="K14" s="3" t="s">
        <v>32</v>
      </c>
      <c r="L14" s="3">
        <v>10</v>
      </c>
    </row>
    <row r="15" spans="1:12" x14ac:dyDescent="0.25">
      <c r="A15" s="3">
        <v>14</v>
      </c>
      <c r="B15" s="1">
        <v>46114</v>
      </c>
      <c r="C15" s="9" t="s">
        <v>14</v>
      </c>
      <c r="D15" s="10" t="s">
        <v>65</v>
      </c>
      <c r="E15" s="4">
        <v>482.83</v>
      </c>
      <c r="F15" s="3">
        <v>87</v>
      </c>
      <c r="G15" s="4">
        <f t="shared" si="0"/>
        <v>42006.21</v>
      </c>
      <c r="H15" s="4">
        <v>11238.71</v>
      </c>
      <c r="I15" s="9" t="s">
        <v>24</v>
      </c>
      <c r="J15" s="9" t="s">
        <v>22</v>
      </c>
      <c r="K15" s="3" t="s">
        <v>33</v>
      </c>
      <c r="L15" s="3">
        <v>14</v>
      </c>
    </row>
    <row r="16" spans="1:12" x14ac:dyDescent="0.25">
      <c r="A16" s="3">
        <v>15</v>
      </c>
      <c r="B16" s="1">
        <v>46117</v>
      </c>
      <c r="C16" s="9" t="s">
        <v>19</v>
      </c>
      <c r="D16" s="10" t="s">
        <v>63</v>
      </c>
      <c r="E16" s="4">
        <v>90.53</v>
      </c>
      <c r="F16" s="3">
        <v>72</v>
      </c>
      <c r="G16" s="4">
        <f t="shared" si="0"/>
        <v>6518.16</v>
      </c>
      <c r="H16" s="4">
        <v>663.22</v>
      </c>
      <c r="I16" s="9" t="s">
        <v>21</v>
      </c>
      <c r="J16" s="9" t="s">
        <v>22</v>
      </c>
      <c r="K16" s="3" t="s">
        <v>33</v>
      </c>
      <c r="L16" s="3">
        <v>14</v>
      </c>
    </row>
    <row r="17" spans="1:12" x14ac:dyDescent="0.25">
      <c r="A17" s="3">
        <v>16</v>
      </c>
      <c r="B17" s="1">
        <v>46119</v>
      </c>
      <c r="C17" s="9" t="s">
        <v>7</v>
      </c>
      <c r="D17" s="10" t="s">
        <v>66</v>
      </c>
      <c r="E17" s="4">
        <v>192.73</v>
      </c>
      <c r="F17" s="3">
        <v>10</v>
      </c>
      <c r="G17" s="4">
        <f t="shared" si="0"/>
        <v>1927.3</v>
      </c>
      <c r="H17" s="4">
        <v>222.11</v>
      </c>
      <c r="I17" s="9" t="s">
        <v>8</v>
      </c>
      <c r="J17" s="9" t="s">
        <v>9</v>
      </c>
      <c r="K17" s="3" t="s">
        <v>33</v>
      </c>
      <c r="L17" s="3">
        <v>15</v>
      </c>
    </row>
    <row r="18" spans="1:12" x14ac:dyDescent="0.25">
      <c r="A18" s="3">
        <v>17</v>
      </c>
      <c r="B18" s="1">
        <v>46122</v>
      </c>
      <c r="C18" s="9" t="s">
        <v>11</v>
      </c>
      <c r="D18" s="10" t="s">
        <v>28</v>
      </c>
      <c r="E18" s="4">
        <v>444.12</v>
      </c>
      <c r="F18" s="3">
        <v>49</v>
      </c>
      <c r="G18" s="4">
        <f t="shared" si="0"/>
        <v>21761.88</v>
      </c>
      <c r="H18" s="4">
        <v>5867.18</v>
      </c>
      <c r="I18" s="9" t="s">
        <v>13</v>
      </c>
      <c r="J18" s="9" t="s">
        <v>9</v>
      </c>
      <c r="K18" s="3" t="s">
        <v>33</v>
      </c>
      <c r="L18" s="3">
        <v>15</v>
      </c>
    </row>
    <row r="19" spans="1:12" x14ac:dyDescent="0.25">
      <c r="A19" s="3">
        <v>18</v>
      </c>
      <c r="B19" s="1">
        <v>46124</v>
      </c>
      <c r="C19" s="9" t="s">
        <v>14</v>
      </c>
      <c r="D19" s="10" t="s">
        <v>26</v>
      </c>
      <c r="E19" s="4">
        <v>476.79</v>
      </c>
      <c r="F19" s="3">
        <v>8</v>
      </c>
      <c r="G19" s="4">
        <f t="shared" si="0"/>
        <v>3814.32</v>
      </c>
      <c r="H19" s="4">
        <v>717.27</v>
      </c>
      <c r="I19" s="9" t="s">
        <v>16</v>
      </c>
      <c r="J19" s="9" t="s">
        <v>17</v>
      </c>
      <c r="K19" s="3" t="s">
        <v>33</v>
      </c>
      <c r="L19" s="3">
        <v>15</v>
      </c>
    </row>
    <row r="20" spans="1:12" x14ac:dyDescent="0.25">
      <c r="A20" s="3">
        <v>19</v>
      </c>
      <c r="B20" s="1">
        <v>46126</v>
      </c>
      <c r="C20" s="9" t="s">
        <v>19</v>
      </c>
      <c r="D20" s="10" t="s">
        <v>67</v>
      </c>
      <c r="E20" s="4">
        <v>497</v>
      </c>
      <c r="F20" s="3">
        <v>21</v>
      </c>
      <c r="G20" s="4">
        <f t="shared" si="0"/>
        <v>10437</v>
      </c>
      <c r="H20" s="4">
        <v>1860.89</v>
      </c>
      <c r="I20" s="9" t="s">
        <v>18</v>
      </c>
      <c r="J20" s="9" t="s">
        <v>17</v>
      </c>
      <c r="K20" s="3" t="s">
        <v>33</v>
      </c>
      <c r="L20" s="3">
        <v>16</v>
      </c>
    </row>
    <row r="21" spans="1:12" x14ac:dyDescent="0.25">
      <c r="A21" s="3">
        <v>20</v>
      </c>
      <c r="B21" s="1">
        <v>46128</v>
      </c>
      <c r="C21" s="9" t="s">
        <v>7</v>
      </c>
      <c r="D21" s="10" t="s">
        <v>27</v>
      </c>
      <c r="E21" s="4">
        <v>292.5</v>
      </c>
      <c r="F21" s="3">
        <v>64</v>
      </c>
      <c r="G21" s="4">
        <f t="shared" si="0"/>
        <v>18720</v>
      </c>
      <c r="H21" s="4">
        <v>2091.42</v>
      </c>
      <c r="I21" s="9" t="s">
        <v>16</v>
      </c>
      <c r="J21" s="9" t="s">
        <v>17</v>
      </c>
      <c r="K21" s="3" t="s">
        <v>33</v>
      </c>
      <c r="L21" s="3">
        <v>16</v>
      </c>
    </row>
    <row r="22" spans="1:12" x14ac:dyDescent="0.25">
      <c r="A22" s="3">
        <v>21</v>
      </c>
      <c r="B22" s="1">
        <v>46130</v>
      </c>
      <c r="C22" s="9" t="s">
        <v>14</v>
      </c>
      <c r="D22" s="10" t="s">
        <v>15</v>
      </c>
      <c r="E22" s="4">
        <v>345.7</v>
      </c>
      <c r="F22" s="3">
        <v>98</v>
      </c>
      <c r="G22" s="4">
        <f t="shared" si="0"/>
        <v>33878.6</v>
      </c>
      <c r="H22" s="4">
        <v>7700.14</v>
      </c>
      <c r="I22" s="9" t="s">
        <v>24</v>
      </c>
      <c r="J22" s="9" t="s">
        <v>22</v>
      </c>
      <c r="K22" s="3" t="s">
        <v>33</v>
      </c>
      <c r="L22" s="3">
        <v>16</v>
      </c>
    </row>
    <row r="23" spans="1:12" x14ac:dyDescent="0.25">
      <c r="A23" s="3">
        <v>22</v>
      </c>
      <c r="B23" s="1">
        <v>46132</v>
      </c>
      <c r="C23" s="9" t="s">
        <v>19</v>
      </c>
      <c r="D23" s="10" t="s">
        <v>63</v>
      </c>
      <c r="E23" s="4">
        <v>309.81</v>
      </c>
      <c r="F23" s="3">
        <v>80</v>
      </c>
      <c r="G23" s="4">
        <f t="shared" si="0"/>
        <v>24784.799999999999</v>
      </c>
      <c r="H23" s="4">
        <v>6238.83</v>
      </c>
      <c r="I23" s="9" t="s">
        <v>21</v>
      </c>
      <c r="J23" s="9" t="s">
        <v>22</v>
      </c>
      <c r="K23" s="3" t="s">
        <v>33</v>
      </c>
      <c r="L23" s="3">
        <v>17</v>
      </c>
    </row>
    <row r="24" spans="1:12" x14ac:dyDescent="0.25">
      <c r="A24" s="3">
        <v>23</v>
      </c>
      <c r="B24" s="1">
        <v>46134</v>
      </c>
      <c r="C24" s="9" t="s">
        <v>7</v>
      </c>
      <c r="D24" s="10" t="s">
        <v>52</v>
      </c>
      <c r="E24" s="4">
        <v>198.03</v>
      </c>
      <c r="F24" s="3">
        <v>88</v>
      </c>
      <c r="G24" s="4">
        <f t="shared" si="0"/>
        <v>17426.64</v>
      </c>
      <c r="H24" s="4">
        <v>2102.69</v>
      </c>
      <c r="I24" s="9" t="s">
        <v>8</v>
      </c>
      <c r="J24" s="9" t="s">
        <v>9</v>
      </c>
      <c r="K24" s="3" t="s">
        <v>33</v>
      </c>
      <c r="L24" s="3">
        <v>17</v>
      </c>
    </row>
    <row r="25" spans="1:12" x14ac:dyDescent="0.25">
      <c r="A25" s="3">
        <v>24</v>
      </c>
      <c r="B25" s="1">
        <v>46147</v>
      </c>
      <c r="C25" s="9" t="s">
        <v>11</v>
      </c>
      <c r="D25" s="10" t="s">
        <v>27</v>
      </c>
      <c r="E25" s="4">
        <v>398.97</v>
      </c>
      <c r="F25" s="3">
        <v>84</v>
      </c>
      <c r="G25" s="4">
        <f t="shared" si="0"/>
        <v>33513.480000000003</v>
      </c>
      <c r="H25" s="4">
        <v>8721.85</v>
      </c>
      <c r="I25" s="9" t="s">
        <v>13</v>
      </c>
      <c r="J25" s="9" t="s">
        <v>9</v>
      </c>
      <c r="K25" s="3" t="s">
        <v>35</v>
      </c>
      <c r="L25" s="3">
        <v>19</v>
      </c>
    </row>
    <row r="26" spans="1:12" x14ac:dyDescent="0.25">
      <c r="A26" s="3">
        <v>25</v>
      </c>
      <c r="B26" s="1">
        <v>46149</v>
      </c>
      <c r="C26" s="9" t="s">
        <v>14</v>
      </c>
      <c r="D26" s="10" t="s">
        <v>52</v>
      </c>
      <c r="E26" s="4">
        <v>79.510000000000005</v>
      </c>
      <c r="F26" s="3">
        <v>19</v>
      </c>
      <c r="G26" s="4">
        <f t="shared" si="0"/>
        <v>1510.69</v>
      </c>
      <c r="H26" s="4">
        <v>319.61</v>
      </c>
      <c r="I26" s="9" t="s">
        <v>16</v>
      </c>
      <c r="J26" s="9" t="s">
        <v>17</v>
      </c>
      <c r="K26" s="3" t="s">
        <v>35</v>
      </c>
      <c r="L26" s="3">
        <v>19</v>
      </c>
    </row>
    <row r="27" spans="1:12" x14ac:dyDescent="0.25">
      <c r="A27" s="3">
        <v>26</v>
      </c>
      <c r="B27" s="1">
        <v>46151</v>
      </c>
      <c r="C27" s="9" t="s">
        <v>19</v>
      </c>
      <c r="D27" s="10" t="s">
        <v>34</v>
      </c>
      <c r="E27" s="4">
        <v>110.28</v>
      </c>
      <c r="F27" s="3">
        <v>71</v>
      </c>
      <c r="G27" s="4">
        <f t="shared" si="0"/>
        <v>7829.88</v>
      </c>
      <c r="H27" s="4">
        <v>1101.8399999999999</v>
      </c>
      <c r="I27" s="9" t="s">
        <v>18</v>
      </c>
      <c r="J27" s="9" t="s">
        <v>17</v>
      </c>
      <c r="K27" s="3" t="s">
        <v>35</v>
      </c>
      <c r="L27" s="3">
        <v>19</v>
      </c>
    </row>
    <row r="28" spans="1:12" x14ac:dyDescent="0.25">
      <c r="A28" s="3">
        <v>27</v>
      </c>
      <c r="B28" s="1">
        <v>46153</v>
      </c>
      <c r="C28" s="9" t="s">
        <v>7</v>
      </c>
      <c r="D28" s="10" t="s">
        <v>26</v>
      </c>
      <c r="E28" s="4">
        <v>243.37</v>
      </c>
      <c r="F28" s="3">
        <v>26</v>
      </c>
      <c r="G28" s="4">
        <f t="shared" si="0"/>
        <v>6327.62</v>
      </c>
      <c r="H28" s="4">
        <v>667.86</v>
      </c>
      <c r="I28" s="9" t="s">
        <v>54</v>
      </c>
      <c r="J28" s="9" t="s">
        <v>17</v>
      </c>
      <c r="K28" s="3" t="s">
        <v>35</v>
      </c>
      <c r="L28" s="3">
        <v>20</v>
      </c>
    </row>
    <row r="29" spans="1:12" x14ac:dyDescent="0.25">
      <c r="A29" s="3">
        <v>28</v>
      </c>
      <c r="B29" s="1">
        <v>46155</v>
      </c>
      <c r="C29" s="9" t="s">
        <v>11</v>
      </c>
      <c r="D29" s="10" t="s">
        <v>68</v>
      </c>
      <c r="E29" s="4">
        <v>395.39</v>
      </c>
      <c r="F29" s="3">
        <v>84</v>
      </c>
      <c r="G29" s="4">
        <f t="shared" si="0"/>
        <v>33212.76</v>
      </c>
      <c r="H29" s="4">
        <v>9620.9599999999991</v>
      </c>
      <c r="I29" s="9" t="s">
        <v>24</v>
      </c>
      <c r="J29" s="9" t="s">
        <v>22</v>
      </c>
      <c r="K29" s="3" t="s">
        <v>35</v>
      </c>
      <c r="L29" s="3">
        <v>20</v>
      </c>
    </row>
    <row r="30" spans="1:12" x14ac:dyDescent="0.25">
      <c r="A30" s="3">
        <v>29</v>
      </c>
      <c r="B30" s="1">
        <v>46157</v>
      </c>
      <c r="C30" s="9" t="s">
        <v>14</v>
      </c>
      <c r="D30" s="10" t="s">
        <v>66</v>
      </c>
      <c r="E30" s="4">
        <v>366.38</v>
      </c>
      <c r="F30" s="3">
        <v>23</v>
      </c>
      <c r="G30" s="4">
        <f t="shared" si="0"/>
        <v>8426.74</v>
      </c>
      <c r="H30" s="4">
        <v>1293.47</v>
      </c>
      <c r="I30" s="9" t="s">
        <v>21</v>
      </c>
      <c r="J30" s="9" t="s">
        <v>22</v>
      </c>
      <c r="K30" s="3" t="s">
        <v>35</v>
      </c>
      <c r="L30" s="3">
        <v>20</v>
      </c>
    </row>
    <row r="31" spans="1:12" x14ac:dyDescent="0.25">
      <c r="A31" s="3">
        <v>30</v>
      </c>
      <c r="B31" s="1">
        <v>46159</v>
      </c>
      <c r="C31" s="9" t="s">
        <v>19</v>
      </c>
      <c r="D31" s="10" t="s">
        <v>52</v>
      </c>
      <c r="E31" s="4">
        <v>144.77000000000001</v>
      </c>
      <c r="F31" s="3">
        <v>7</v>
      </c>
      <c r="G31" s="4">
        <f t="shared" si="0"/>
        <v>1013.3900000000001</v>
      </c>
      <c r="H31" s="4">
        <v>181.81</v>
      </c>
      <c r="I31" s="9" t="s">
        <v>8</v>
      </c>
      <c r="J31" s="9" t="s">
        <v>9</v>
      </c>
      <c r="K31" s="3" t="s">
        <v>35</v>
      </c>
      <c r="L31" s="3">
        <v>20</v>
      </c>
    </row>
    <row r="32" spans="1:12" x14ac:dyDescent="0.25">
      <c r="A32" s="3">
        <v>31</v>
      </c>
      <c r="B32" s="1">
        <v>46161</v>
      </c>
      <c r="C32" s="9" t="s">
        <v>7</v>
      </c>
      <c r="D32" s="10" t="s">
        <v>27</v>
      </c>
      <c r="E32" s="4">
        <v>394.39</v>
      </c>
      <c r="F32" s="3">
        <v>25</v>
      </c>
      <c r="G32" s="4">
        <f t="shared" si="0"/>
        <v>9859.75</v>
      </c>
      <c r="H32" s="4">
        <v>2470.4499999999998</v>
      </c>
      <c r="I32" s="9" t="s">
        <v>13</v>
      </c>
      <c r="J32" s="9" t="s">
        <v>9</v>
      </c>
      <c r="K32" s="3" t="s">
        <v>35</v>
      </c>
      <c r="L32" s="3">
        <v>21</v>
      </c>
    </row>
    <row r="33" spans="1:12" x14ac:dyDescent="0.25">
      <c r="A33" s="3">
        <v>32</v>
      </c>
      <c r="B33" s="1">
        <v>46163</v>
      </c>
      <c r="C33" s="9" t="s">
        <v>11</v>
      </c>
      <c r="D33" s="10" t="s">
        <v>20</v>
      </c>
      <c r="E33" s="4">
        <v>16.510000000000002</v>
      </c>
      <c r="F33" s="3">
        <v>83</v>
      </c>
      <c r="G33" s="4">
        <f t="shared" si="0"/>
        <v>1370.3300000000002</v>
      </c>
      <c r="H33" s="4">
        <v>372.32</v>
      </c>
      <c r="I33" s="9" t="s">
        <v>16</v>
      </c>
      <c r="J33" s="9" t="s">
        <v>17</v>
      </c>
      <c r="K33" s="3" t="s">
        <v>35</v>
      </c>
      <c r="L33" s="3">
        <v>21</v>
      </c>
    </row>
    <row r="34" spans="1:12" x14ac:dyDescent="0.25">
      <c r="A34" s="3">
        <v>33</v>
      </c>
      <c r="B34" s="1">
        <v>46165</v>
      </c>
      <c r="C34" s="9" t="s">
        <v>14</v>
      </c>
      <c r="D34" s="10" t="s">
        <v>65</v>
      </c>
      <c r="E34" s="4">
        <v>245.98</v>
      </c>
      <c r="F34" s="3">
        <v>5</v>
      </c>
      <c r="G34" s="4">
        <f t="shared" si="0"/>
        <v>1229.8999999999999</v>
      </c>
      <c r="H34" s="4">
        <v>216.79</v>
      </c>
      <c r="I34" s="9" t="s">
        <v>18</v>
      </c>
      <c r="J34" s="9" t="s">
        <v>17</v>
      </c>
      <c r="K34" s="3" t="s">
        <v>35</v>
      </c>
      <c r="L34" s="3">
        <v>21</v>
      </c>
    </row>
    <row r="35" spans="1:12" x14ac:dyDescent="0.25">
      <c r="A35" s="3">
        <v>34</v>
      </c>
      <c r="B35" s="1">
        <v>46167</v>
      </c>
      <c r="C35" s="9" t="s">
        <v>19</v>
      </c>
      <c r="D35" s="10" t="s">
        <v>23</v>
      </c>
      <c r="E35" s="4">
        <v>8.59</v>
      </c>
      <c r="F35" s="3">
        <v>40</v>
      </c>
      <c r="G35" s="4">
        <f t="shared" si="0"/>
        <v>343.6</v>
      </c>
      <c r="H35" s="4">
        <v>38.68</v>
      </c>
      <c r="I35" s="9" t="s">
        <v>16</v>
      </c>
      <c r="J35" s="9" t="s">
        <v>17</v>
      </c>
      <c r="K35" s="3" t="s">
        <v>35</v>
      </c>
      <c r="L35" s="3">
        <v>22</v>
      </c>
    </row>
    <row r="36" spans="1:12" x14ac:dyDescent="0.25">
      <c r="A36" s="3">
        <v>35</v>
      </c>
      <c r="B36" s="1">
        <v>46169</v>
      </c>
      <c r="C36" s="9" t="s">
        <v>7</v>
      </c>
      <c r="D36" s="10" t="s">
        <v>12</v>
      </c>
      <c r="E36" s="4">
        <v>216.97</v>
      </c>
      <c r="F36" s="3">
        <v>41</v>
      </c>
      <c r="G36" s="4">
        <f t="shared" si="0"/>
        <v>8895.77</v>
      </c>
      <c r="H36" s="4">
        <v>988.29</v>
      </c>
      <c r="I36" s="9" t="s">
        <v>24</v>
      </c>
      <c r="J36" s="9" t="s">
        <v>22</v>
      </c>
      <c r="K36" s="3" t="s">
        <v>35</v>
      </c>
      <c r="L36" s="3">
        <v>22</v>
      </c>
    </row>
    <row r="37" spans="1:12" x14ac:dyDescent="0.25">
      <c r="A37" s="3">
        <v>36</v>
      </c>
      <c r="B37" s="1">
        <v>46171</v>
      </c>
      <c r="C37" s="9" t="s">
        <v>11</v>
      </c>
      <c r="D37" s="10" t="s">
        <v>28</v>
      </c>
      <c r="E37" s="4">
        <v>154.37</v>
      </c>
      <c r="F37" s="3">
        <v>42</v>
      </c>
      <c r="G37" s="4">
        <f t="shared" si="0"/>
        <v>6483.54</v>
      </c>
      <c r="H37" s="4">
        <v>1756.56</v>
      </c>
      <c r="I37" s="9" t="s">
        <v>21</v>
      </c>
      <c r="J37" s="9" t="s">
        <v>22</v>
      </c>
      <c r="K37" s="3" t="s">
        <v>35</v>
      </c>
      <c r="L37" s="3">
        <v>22</v>
      </c>
    </row>
    <row r="38" spans="1:12" x14ac:dyDescent="0.25">
      <c r="A38" s="3">
        <v>37</v>
      </c>
      <c r="B38" s="1">
        <v>46174</v>
      </c>
      <c r="C38" s="9" t="s">
        <v>14</v>
      </c>
      <c r="D38" s="10" t="s">
        <v>60</v>
      </c>
      <c r="E38" s="4">
        <v>133.82</v>
      </c>
      <c r="F38" s="3">
        <v>12</v>
      </c>
      <c r="G38" s="4">
        <f t="shared" si="0"/>
        <v>1605.84</v>
      </c>
      <c r="H38" s="4">
        <v>444.39</v>
      </c>
      <c r="I38" s="9" t="s">
        <v>8</v>
      </c>
      <c r="J38" s="9" t="s">
        <v>9</v>
      </c>
      <c r="K38" s="3" t="s">
        <v>41</v>
      </c>
      <c r="L38" s="3">
        <v>23</v>
      </c>
    </row>
    <row r="39" spans="1:12" x14ac:dyDescent="0.25">
      <c r="A39" s="3">
        <v>38</v>
      </c>
      <c r="B39" s="1">
        <v>46176</v>
      </c>
      <c r="C39" s="9" t="s">
        <v>19</v>
      </c>
      <c r="D39" s="10" t="s">
        <v>28</v>
      </c>
      <c r="E39" s="4">
        <v>62.17</v>
      </c>
      <c r="F39" s="3">
        <v>38</v>
      </c>
      <c r="G39" s="4">
        <f t="shared" si="0"/>
        <v>2362.46</v>
      </c>
      <c r="H39" s="4">
        <v>456</v>
      </c>
      <c r="I39" s="9" t="s">
        <v>13</v>
      </c>
      <c r="J39" s="9" t="s">
        <v>9</v>
      </c>
      <c r="K39" s="3" t="s">
        <v>41</v>
      </c>
      <c r="L39" s="3">
        <v>23</v>
      </c>
    </row>
    <row r="40" spans="1:12" x14ac:dyDescent="0.25">
      <c r="A40" s="3">
        <v>39</v>
      </c>
      <c r="B40" s="1">
        <v>46178</v>
      </c>
      <c r="C40" s="9" t="s">
        <v>7</v>
      </c>
      <c r="D40" s="10" t="s">
        <v>68</v>
      </c>
      <c r="E40" s="4">
        <v>489.76</v>
      </c>
      <c r="F40" s="3">
        <v>34</v>
      </c>
      <c r="G40" s="4">
        <f t="shared" si="0"/>
        <v>16651.84</v>
      </c>
      <c r="H40" s="4">
        <v>4086.81</v>
      </c>
      <c r="I40" s="9" t="s">
        <v>16</v>
      </c>
      <c r="J40" s="9" t="s">
        <v>17</v>
      </c>
      <c r="K40" s="3" t="s">
        <v>41</v>
      </c>
      <c r="L40" s="3">
        <v>23</v>
      </c>
    </row>
    <row r="41" spans="1:12" x14ac:dyDescent="0.25">
      <c r="A41" s="3">
        <v>40</v>
      </c>
      <c r="B41" s="1">
        <v>46180</v>
      </c>
      <c r="C41" s="9" t="s">
        <v>11</v>
      </c>
      <c r="D41" s="10" t="s">
        <v>27</v>
      </c>
      <c r="E41" s="4">
        <v>82.51</v>
      </c>
      <c r="F41" s="3">
        <v>70</v>
      </c>
      <c r="G41" s="4">
        <f t="shared" si="0"/>
        <v>5775.7000000000007</v>
      </c>
      <c r="H41" s="4">
        <v>819.48</v>
      </c>
      <c r="I41" s="9" t="s">
        <v>80</v>
      </c>
      <c r="J41" s="9" t="s">
        <v>9</v>
      </c>
      <c r="K41" s="3" t="s">
        <v>41</v>
      </c>
      <c r="L41" s="3">
        <v>23</v>
      </c>
    </row>
    <row r="42" spans="1:12" x14ac:dyDescent="0.25">
      <c r="A42" s="3">
        <v>41</v>
      </c>
      <c r="B42" s="1">
        <v>46182</v>
      </c>
      <c r="C42" s="9" t="s">
        <v>14</v>
      </c>
      <c r="D42" s="10" t="s">
        <v>28</v>
      </c>
      <c r="E42" s="4">
        <v>456.74</v>
      </c>
      <c r="F42" s="3">
        <v>22</v>
      </c>
      <c r="G42" s="4">
        <f t="shared" si="0"/>
        <v>10048.280000000001</v>
      </c>
      <c r="H42" s="4">
        <v>2509.0500000000002</v>
      </c>
      <c r="I42" s="9" t="s">
        <v>16</v>
      </c>
      <c r="J42" s="9" t="s">
        <v>17</v>
      </c>
      <c r="K42" s="3" t="s">
        <v>41</v>
      </c>
      <c r="L42" s="3">
        <v>24</v>
      </c>
    </row>
    <row r="43" spans="1:12" x14ac:dyDescent="0.25">
      <c r="A43" s="3">
        <v>42</v>
      </c>
      <c r="B43" s="1">
        <v>46183</v>
      </c>
      <c r="C43" s="9" t="s">
        <v>19</v>
      </c>
      <c r="D43" s="10" t="s">
        <v>23</v>
      </c>
      <c r="E43" s="4">
        <v>105.66</v>
      </c>
      <c r="F43" s="3">
        <v>83</v>
      </c>
      <c r="G43" s="4">
        <f t="shared" si="0"/>
        <v>8769.7799999999988</v>
      </c>
      <c r="H43" s="4">
        <v>1866.03</v>
      </c>
      <c r="I43" s="9" t="s">
        <v>24</v>
      </c>
      <c r="J43" s="9" t="s">
        <v>22</v>
      </c>
      <c r="K43" s="3" t="s">
        <v>41</v>
      </c>
      <c r="L43" s="3">
        <v>24</v>
      </c>
    </row>
    <row r="44" spans="1:12" x14ac:dyDescent="0.25">
      <c r="A44" s="3">
        <v>43</v>
      </c>
      <c r="B44" s="1">
        <v>46185</v>
      </c>
      <c r="C44" s="9" t="s">
        <v>7</v>
      </c>
      <c r="D44" s="10" t="s">
        <v>23</v>
      </c>
      <c r="E44" s="4">
        <v>297.55</v>
      </c>
      <c r="F44" s="3">
        <v>31</v>
      </c>
      <c r="G44" s="4">
        <f t="shared" si="0"/>
        <v>9224.0500000000011</v>
      </c>
      <c r="H44" s="4">
        <v>974.28</v>
      </c>
      <c r="I44" s="9" t="s">
        <v>21</v>
      </c>
      <c r="J44" s="9" t="s">
        <v>22</v>
      </c>
      <c r="K44" s="3" t="s">
        <v>41</v>
      </c>
      <c r="L44" s="3">
        <v>24</v>
      </c>
    </row>
    <row r="45" spans="1:12" x14ac:dyDescent="0.25">
      <c r="A45" s="3">
        <v>44</v>
      </c>
      <c r="B45" s="1">
        <v>46187</v>
      </c>
      <c r="C45" s="9" t="s">
        <v>11</v>
      </c>
      <c r="D45" s="10" t="s">
        <v>12</v>
      </c>
      <c r="E45" s="4">
        <v>9.6999999999999993</v>
      </c>
      <c r="F45" s="3">
        <v>93</v>
      </c>
      <c r="G45" s="4">
        <f t="shared" si="0"/>
        <v>902.09999999999991</v>
      </c>
      <c r="H45" s="4">
        <v>207.12</v>
      </c>
      <c r="I45" s="9" t="s">
        <v>8</v>
      </c>
      <c r="J45" s="9" t="s">
        <v>9</v>
      </c>
      <c r="K45" s="3" t="s">
        <v>41</v>
      </c>
      <c r="L45" s="3">
        <v>24</v>
      </c>
    </row>
    <row r="46" spans="1:12" x14ac:dyDescent="0.25">
      <c r="A46" s="3">
        <v>45</v>
      </c>
      <c r="B46" s="1">
        <v>46189</v>
      </c>
      <c r="C46" s="9" t="s">
        <v>14</v>
      </c>
      <c r="D46" s="10" t="s">
        <v>30</v>
      </c>
      <c r="E46" s="4">
        <v>217.66</v>
      </c>
      <c r="F46" s="3">
        <v>85</v>
      </c>
      <c r="G46" s="4">
        <f t="shared" si="0"/>
        <v>18501.099999999999</v>
      </c>
      <c r="H46" s="4">
        <v>5303.18</v>
      </c>
      <c r="I46" s="9" t="s">
        <v>13</v>
      </c>
      <c r="J46" s="9" t="s">
        <v>9</v>
      </c>
      <c r="K46" s="3" t="s">
        <v>41</v>
      </c>
      <c r="L46" s="3">
        <v>25</v>
      </c>
    </row>
    <row r="47" spans="1:12" x14ac:dyDescent="0.25">
      <c r="A47" s="3">
        <v>46</v>
      </c>
      <c r="B47" s="1">
        <v>46191</v>
      </c>
      <c r="C47" s="9" t="s">
        <v>19</v>
      </c>
      <c r="D47" s="10" t="s">
        <v>23</v>
      </c>
      <c r="E47" s="4">
        <v>424.73</v>
      </c>
      <c r="F47" s="3">
        <v>64</v>
      </c>
      <c r="G47" s="4">
        <f t="shared" si="0"/>
        <v>27182.720000000001</v>
      </c>
      <c r="H47" s="4">
        <v>4546.59</v>
      </c>
      <c r="I47" s="9" t="s">
        <v>77</v>
      </c>
      <c r="J47" s="9" t="s">
        <v>9</v>
      </c>
      <c r="K47" s="3" t="s">
        <v>41</v>
      </c>
      <c r="L47" s="3">
        <v>25</v>
      </c>
    </row>
    <row r="48" spans="1:12" x14ac:dyDescent="0.25">
      <c r="A48" s="3">
        <v>47</v>
      </c>
      <c r="B48" s="1">
        <v>46193</v>
      </c>
      <c r="C48" s="9" t="s">
        <v>7</v>
      </c>
      <c r="D48" s="10" t="s">
        <v>69</v>
      </c>
      <c r="E48" s="4">
        <v>250.93</v>
      </c>
      <c r="F48" s="3">
        <v>52</v>
      </c>
      <c r="G48" s="4">
        <f t="shared" si="0"/>
        <v>13048.36</v>
      </c>
      <c r="H48" s="4">
        <v>2802.37</v>
      </c>
      <c r="I48" s="9" t="s">
        <v>18</v>
      </c>
      <c r="J48" s="9" t="s">
        <v>17</v>
      </c>
      <c r="K48" s="3" t="s">
        <v>41</v>
      </c>
      <c r="L48" s="3">
        <v>25</v>
      </c>
    </row>
    <row r="49" spans="1:12" x14ac:dyDescent="0.25">
      <c r="A49" s="3">
        <v>48</v>
      </c>
      <c r="B49" s="1">
        <v>46195</v>
      </c>
      <c r="C49" s="9" t="s">
        <v>11</v>
      </c>
      <c r="D49" s="10" t="s">
        <v>68</v>
      </c>
      <c r="E49" s="4">
        <v>340.54</v>
      </c>
      <c r="F49" s="3">
        <v>60</v>
      </c>
      <c r="G49" s="4">
        <f t="shared" si="0"/>
        <v>20432.400000000001</v>
      </c>
      <c r="H49" s="4">
        <v>3880.07</v>
      </c>
      <c r="I49" s="9" t="s">
        <v>16</v>
      </c>
      <c r="J49" s="9" t="s">
        <v>17</v>
      </c>
      <c r="K49" s="3" t="s">
        <v>41</v>
      </c>
      <c r="L49" s="3">
        <v>26</v>
      </c>
    </row>
    <row r="50" spans="1:12" x14ac:dyDescent="0.25">
      <c r="A50" s="3">
        <v>49</v>
      </c>
      <c r="B50" s="1">
        <v>46197</v>
      </c>
      <c r="C50" s="9" t="s">
        <v>7</v>
      </c>
      <c r="D50" s="10" t="s">
        <v>68</v>
      </c>
      <c r="E50" s="4">
        <v>205.69</v>
      </c>
      <c r="F50" s="3">
        <v>23</v>
      </c>
      <c r="G50" s="4">
        <f t="shared" si="0"/>
        <v>4730.87</v>
      </c>
      <c r="H50" s="4">
        <v>770.78</v>
      </c>
      <c r="I50" s="9" t="s">
        <v>24</v>
      </c>
      <c r="J50" s="9" t="s">
        <v>22</v>
      </c>
      <c r="K50" s="3" t="s">
        <v>41</v>
      </c>
      <c r="L50" s="3">
        <v>26</v>
      </c>
    </row>
    <row r="51" spans="1:12" x14ac:dyDescent="0.25">
      <c r="A51" s="3">
        <v>50</v>
      </c>
      <c r="B51" s="1">
        <v>46199</v>
      </c>
      <c r="C51" s="9" t="s">
        <v>11</v>
      </c>
      <c r="D51" s="10" t="s">
        <v>52</v>
      </c>
      <c r="E51" s="4">
        <v>355.06</v>
      </c>
      <c r="F51" s="3">
        <v>60</v>
      </c>
      <c r="G51" s="4">
        <f t="shared" si="0"/>
        <v>21303.599999999999</v>
      </c>
      <c r="H51" s="4">
        <v>4040.29</v>
      </c>
      <c r="I51" s="9" t="s">
        <v>21</v>
      </c>
      <c r="J51" s="9" t="s">
        <v>22</v>
      </c>
      <c r="K51" s="3" t="s">
        <v>41</v>
      </c>
      <c r="L51" s="3">
        <v>26</v>
      </c>
    </row>
    <row r="52" spans="1:12" x14ac:dyDescent="0.25">
      <c r="A52" s="3">
        <v>51</v>
      </c>
      <c r="B52" s="1">
        <v>46204</v>
      </c>
      <c r="C52" s="9" t="s">
        <v>14</v>
      </c>
      <c r="D52" s="10" t="s">
        <v>15</v>
      </c>
      <c r="E52" s="4">
        <v>47.9</v>
      </c>
      <c r="F52" s="3">
        <v>3</v>
      </c>
      <c r="G52" s="4">
        <f t="shared" si="0"/>
        <v>143.69999999999999</v>
      </c>
      <c r="H52" s="4">
        <v>35.200000000000003</v>
      </c>
      <c r="I52" s="9" t="s">
        <v>77</v>
      </c>
      <c r="J52" s="9" t="s">
        <v>9</v>
      </c>
      <c r="K52" s="3" t="s">
        <v>51</v>
      </c>
      <c r="L52" s="3">
        <v>27</v>
      </c>
    </row>
    <row r="53" spans="1:12" x14ac:dyDescent="0.25">
      <c r="A53" s="3">
        <v>52</v>
      </c>
      <c r="B53" s="1">
        <v>46206</v>
      </c>
      <c r="C53" s="9" t="s">
        <v>7</v>
      </c>
      <c r="D53" s="10" t="s">
        <v>69</v>
      </c>
      <c r="E53" s="4">
        <v>154.86000000000001</v>
      </c>
      <c r="F53" s="3">
        <v>95</v>
      </c>
      <c r="G53" s="4">
        <f t="shared" si="0"/>
        <v>14711.7</v>
      </c>
      <c r="H53" s="4">
        <v>3263.14</v>
      </c>
      <c r="I53" s="9" t="s">
        <v>18</v>
      </c>
      <c r="J53" s="9" t="s">
        <v>17</v>
      </c>
      <c r="K53" s="3" t="s">
        <v>51</v>
      </c>
      <c r="L53" s="3">
        <v>27</v>
      </c>
    </row>
    <row r="54" spans="1:12" x14ac:dyDescent="0.25">
      <c r="A54" s="3">
        <v>53</v>
      </c>
      <c r="B54" s="1">
        <v>46208</v>
      </c>
      <c r="C54" s="9" t="s">
        <v>11</v>
      </c>
      <c r="D54" s="10" t="s">
        <v>64</v>
      </c>
      <c r="E54" s="4">
        <v>124.48</v>
      </c>
      <c r="F54" s="3">
        <v>100</v>
      </c>
      <c r="G54" s="4">
        <f t="shared" si="0"/>
        <v>12448</v>
      </c>
      <c r="H54" s="4">
        <v>1583.47</v>
      </c>
      <c r="I54" s="9" t="s">
        <v>18</v>
      </c>
      <c r="J54" s="9" t="s">
        <v>17</v>
      </c>
      <c r="K54" s="3" t="s">
        <v>51</v>
      </c>
      <c r="L54" s="3">
        <v>27</v>
      </c>
    </row>
    <row r="55" spans="1:12" x14ac:dyDescent="0.25">
      <c r="A55" s="3">
        <v>54</v>
      </c>
      <c r="B55" s="1">
        <v>46210</v>
      </c>
      <c r="C55" s="9" t="s">
        <v>14</v>
      </c>
      <c r="D55" s="10" t="s">
        <v>15</v>
      </c>
      <c r="E55" s="4">
        <v>455.65</v>
      </c>
      <c r="F55" s="3">
        <v>7</v>
      </c>
      <c r="G55" s="4">
        <f t="shared" si="0"/>
        <v>3189.5499999999997</v>
      </c>
      <c r="H55" s="4">
        <v>733.81</v>
      </c>
      <c r="I55" s="9" t="s">
        <v>80</v>
      </c>
      <c r="J55" s="9" t="s">
        <v>9</v>
      </c>
      <c r="K55" s="3" t="s">
        <v>51</v>
      </c>
      <c r="L55" s="3">
        <v>28</v>
      </c>
    </row>
    <row r="56" spans="1:12" x14ac:dyDescent="0.25">
      <c r="A56" s="3">
        <v>55</v>
      </c>
      <c r="B56" s="1">
        <v>46212</v>
      </c>
      <c r="C56" s="9" t="s">
        <v>19</v>
      </c>
      <c r="D56" s="10" t="s">
        <v>27</v>
      </c>
      <c r="E56" s="4">
        <v>116.49</v>
      </c>
      <c r="F56" s="3">
        <v>74</v>
      </c>
      <c r="G56" s="4">
        <f t="shared" si="0"/>
        <v>8620.26</v>
      </c>
      <c r="H56" s="4">
        <v>2218.9499999999998</v>
      </c>
      <c r="I56" s="9" t="s">
        <v>18</v>
      </c>
      <c r="J56" s="9" t="s">
        <v>17</v>
      </c>
      <c r="K56" s="3" t="s">
        <v>51</v>
      </c>
      <c r="L56" s="3">
        <v>28</v>
      </c>
    </row>
    <row r="57" spans="1:12" x14ac:dyDescent="0.25">
      <c r="A57" s="3">
        <v>56</v>
      </c>
      <c r="B57" s="1">
        <v>46214</v>
      </c>
      <c r="C57" s="9" t="s">
        <v>7</v>
      </c>
      <c r="D57" s="10" t="s">
        <v>63</v>
      </c>
      <c r="E57" s="4">
        <v>388.59</v>
      </c>
      <c r="F57" s="3">
        <v>27</v>
      </c>
      <c r="G57" s="4">
        <f t="shared" si="0"/>
        <v>10491.929999999998</v>
      </c>
      <c r="H57" s="4">
        <v>2943.5</v>
      </c>
      <c r="I57" s="9" t="s">
        <v>16</v>
      </c>
      <c r="J57" s="9" t="s">
        <v>17</v>
      </c>
      <c r="K57" s="3" t="s">
        <v>51</v>
      </c>
      <c r="L57" s="3">
        <v>28</v>
      </c>
    </row>
    <row r="58" spans="1:12" x14ac:dyDescent="0.25">
      <c r="A58" s="3">
        <v>57</v>
      </c>
      <c r="B58" s="1">
        <v>46216</v>
      </c>
      <c r="C58" s="9" t="s">
        <v>11</v>
      </c>
      <c r="D58" s="10" t="s">
        <v>27</v>
      </c>
      <c r="E58" s="4">
        <v>118.31</v>
      </c>
      <c r="F58" s="3">
        <v>53</v>
      </c>
      <c r="G58" s="4">
        <f t="shared" si="0"/>
        <v>6270.43</v>
      </c>
      <c r="H58" s="4">
        <v>1695.73</v>
      </c>
      <c r="I58" s="9" t="s">
        <v>84</v>
      </c>
      <c r="J58" s="9" t="s">
        <v>17</v>
      </c>
      <c r="K58" s="3" t="s">
        <v>51</v>
      </c>
      <c r="L58" s="3">
        <v>29</v>
      </c>
    </row>
    <row r="59" spans="1:12" x14ac:dyDescent="0.25">
      <c r="A59" s="3">
        <v>58</v>
      </c>
      <c r="B59" s="1">
        <v>46218</v>
      </c>
      <c r="C59" s="9" t="s">
        <v>14</v>
      </c>
      <c r="D59" s="10" t="s">
        <v>26</v>
      </c>
      <c r="E59" s="4">
        <v>435.09</v>
      </c>
      <c r="F59" s="3">
        <v>80</v>
      </c>
      <c r="G59" s="4">
        <f t="shared" si="0"/>
        <v>34807.199999999997</v>
      </c>
      <c r="H59" s="4">
        <v>8272.34</v>
      </c>
      <c r="I59" s="9" t="s">
        <v>18</v>
      </c>
      <c r="J59" s="9" t="s">
        <v>17</v>
      </c>
      <c r="K59" s="3" t="s">
        <v>51</v>
      </c>
      <c r="L59" s="3">
        <v>29</v>
      </c>
    </row>
    <row r="60" spans="1:12" x14ac:dyDescent="0.25">
      <c r="A60" s="3">
        <v>59</v>
      </c>
      <c r="B60" s="1">
        <v>46220</v>
      </c>
      <c r="C60" s="9" t="s">
        <v>19</v>
      </c>
      <c r="D60" s="10" t="s">
        <v>60</v>
      </c>
      <c r="E60" s="4">
        <v>211.04</v>
      </c>
      <c r="F60" s="3">
        <v>30</v>
      </c>
      <c r="G60" s="4">
        <f t="shared" si="0"/>
        <v>6331.2</v>
      </c>
      <c r="H60" s="4">
        <v>1001.46</v>
      </c>
      <c r="I60" s="9" t="s">
        <v>18</v>
      </c>
      <c r="J60" s="9" t="s">
        <v>17</v>
      </c>
      <c r="K60" s="3" t="s">
        <v>51</v>
      </c>
      <c r="L60" s="3">
        <v>29</v>
      </c>
    </row>
    <row r="61" spans="1:12" x14ac:dyDescent="0.25">
      <c r="A61" s="3">
        <v>60</v>
      </c>
      <c r="B61" s="1">
        <v>46222</v>
      </c>
      <c r="C61" s="9" t="s">
        <v>7</v>
      </c>
      <c r="D61" s="10" t="s">
        <v>12</v>
      </c>
      <c r="E61" s="4">
        <v>444.11</v>
      </c>
      <c r="F61" s="3">
        <v>54</v>
      </c>
      <c r="G61" s="4">
        <f t="shared" si="0"/>
        <v>23981.940000000002</v>
      </c>
      <c r="H61" s="4">
        <v>3183.02</v>
      </c>
      <c r="I61" s="9" t="s">
        <v>78</v>
      </c>
      <c r="J61" s="9" t="s">
        <v>9</v>
      </c>
      <c r="K61" s="3" t="s">
        <v>51</v>
      </c>
      <c r="L61" s="3">
        <v>29</v>
      </c>
    </row>
    <row r="62" spans="1:12" x14ac:dyDescent="0.25">
      <c r="A62" s="3">
        <v>61</v>
      </c>
      <c r="B62" s="1">
        <v>46224</v>
      </c>
      <c r="C62" s="9" t="s">
        <v>14</v>
      </c>
      <c r="D62" s="10" t="s">
        <v>52</v>
      </c>
      <c r="E62" s="4">
        <v>330.91</v>
      </c>
      <c r="F62" s="3">
        <v>24</v>
      </c>
      <c r="G62" s="4">
        <f t="shared" si="0"/>
        <v>7941.84</v>
      </c>
      <c r="H62" s="4">
        <v>1299.6400000000001</v>
      </c>
      <c r="I62" s="9" t="s">
        <v>18</v>
      </c>
      <c r="J62" s="9" t="s">
        <v>17</v>
      </c>
      <c r="K62" s="3" t="s">
        <v>51</v>
      </c>
      <c r="L62" s="3">
        <v>30</v>
      </c>
    </row>
    <row r="63" spans="1:12" x14ac:dyDescent="0.25">
      <c r="A63" s="3">
        <v>62</v>
      </c>
      <c r="B63" s="1">
        <v>46226</v>
      </c>
      <c r="C63" s="9" t="s">
        <v>19</v>
      </c>
      <c r="D63" s="10" t="s">
        <v>26</v>
      </c>
      <c r="E63" s="4">
        <v>461.53</v>
      </c>
      <c r="F63" s="3">
        <v>46</v>
      </c>
      <c r="G63" s="4">
        <f t="shared" si="0"/>
        <v>21230.379999999997</v>
      </c>
      <c r="H63" s="4">
        <v>2577.8000000000002</v>
      </c>
      <c r="I63" s="9" t="s">
        <v>82</v>
      </c>
      <c r="J63" s="9" t="s">
        <v>81</v>
      </c>
      <c r="K63" s="3" t="s">
        <v>51</v>
      </c>
      <c r="L63" s="3">
        <v>30</v>
      </c>
    </row>
    <row r="64" spans="1:12" x14ac:dyDescent="0.25">
      <c r="A64" s="3">
        <v>63</v>
      </c>
      <c r="B64" s="1">
        <v>46228</v>
      </c>
      <c r="C64" s="9" t="s">
        <v>7</v>
      </c>
      <c r="D64" s="10" t="s">
        <v>15</v>
      </c>
      <c r="E64" s="4">
        <v>202.13</v>
      </c>
      <c r="F64" s="3">
        <v>53</v>
      </c>
      <c r="G64" s="4">
        <f t="shared" si="0"/>
        <v>10712.89</v>
      </c>
      <c r="H64" s="4">
        <v>2000.92</v>
      </c>
      <c r="I64" s="9" t="s">
        <v>83</v>
      </c>
      <c r="J64" s="9" t="s">
        <v>81</v>
      </c>
      <c r="K64" s="3" t="s">
        <v>51</v>
      </c>
      <c r="L64" s="3">
        <v>30</v>
      </c>
    </row>
    <row r="65" spans="1:12" x14ac:dyDescent="0.25">
      <c r="A65" s="3">
        <v>64</v>
      </c>
      <c r="B65" s="1">
        <v>46230</v>
      </c>
      <c r="C65" s="9" t="s">
        <v>11</v>
      </c>
      <c r="D65" s="10" t="s">
        <v>62</v>
      </c>
      <c r="E65" s="4">
        <v>149.88999999999999</v>
      </c>
      <c r="F65" s="3">
        <v>71</v>
      </c>
      <c r="G65" s="4">
        <f t="shared" si="0"/>
        <v>10642.189999999999</v>
      </c>
      <c r="H65" s="4">
        <v>2316.2399999999998</v>
      </c>
      <c r="I65" s="9" t="s">
        <v>18</v>
      </c>
      <c r="J65" s="9" t="s">
        <v>17</v>
      </c>
      <c r="K65" s="3" t="s">
        <v>51</v>
      </c>
      <c r="L65" s="3">
        <v>31</v>
      </c>
    </row>
    <row r="66" spans="1:12" x14ac:dyDescent="0.25">
      <c r="A66" s="3">
        <v>65</v>
      </c>
      <c r="B66" s="1">
        <v>46232</v>
      </c>
      <c r="C66" s="9" t="s">
        <v>14</v>
      </c>
      <c r="D66" s="10" t="s">
        <v>12</v>
      </c>
      <c r="E66" s="4">
        <v>329.52</v>
      </c>
      <c r="F66" s="3">
        <v>37</v>
      </c>
      <c r="G66" s="4">
        <f t="shared" si="0"/>
        <v>12192.24</v>
      </c>
      <c r="H66" s="4">
        <v>3391.73</v>
      </c>
      <c r="I66" s="9" t="s">
        <v>18</v>
      </c>
      <c r="J66" s="9" t="s">
        <v>17</v>
      </c>
      <c r="K66" s="3" t="s">
        <v>51</v>
      </c>
      <c r="L66" s="3">
        <v>31</v>
      </c>
    </row>
    <row r="67" spans="1:12" x14ac:dyDescent="0.25">
      <c r="A67" s="3">
        <v>66</v>
      </c>
      <c r="B67" s="1">
        <v>46234</v>
      </c>
      <c r="C67" s="9" t="s">
        <v>40</v>
      </c>
      <c r="D67" s="10" t="s">
        <v>68</v>
      </c>
      <c r="E67" s="4">
        <v>151.63999999999999</v>
      </c>
      <c r="F67" s="3">
        <v>34</v>
      </c>
      <c r="G67" s="4">
        <f t="shared" ref="G67:G101" si="1">E67*F67</f>
        <v>5155.7599999999993</v>
      </c>
      <c r="H67" s="4">
        <v>519.52</v>
      </c>
      <c r="I67" s="9" t="s">
        <v>75</v>
      </c>
      <c r="J67" s="9" t="s">
        <v>9</v>
      </c>
      <c r="K67" s="3" t="s">
        <v>51</v>
      </c>
      <c r="L67" s="3">
        <v>31</v>
      </c>
    </row>
    <row r="68" spans="1:12" x14ac:dyDescent="0.25">
      <c r="A68" s="3">
        <v>67</v>
      </c>
      <c r="B68" s="1">
        <v>46235</v>
      </c>
      <c r="C68" s="9" t="s">
        <v>42</v>
      </c>
      <c r="D68" s="10" t="s">
        <v>69</v>
      </c>
      <c r="E68" s="4">
        <v>490</v>
      </c>
      <c r="F68" s="3">
        <v>95</v>
      </c>
      <c r="G68" s="4">
        <f t="shared" si="1"/>
        <v>46550</v>
      </c>
      <c r="H68" s="4">
        <v>6676.33</v>
      </c>
      <c r="I68" s="9" t="s">
        <v>75</v>
      </c>
      <c r="J68" s="9" t="s">
        <v>9</v>
      </c>
      <c r="K68" s="3" t="s">
        <v>53</v>
      </c>
      <c r="L68" s="3">
        <v>31</v>
      </c>
    </row>
    <row r="69" spans="1:12" x14ac:dyDescent="0.25">
      <c r="A69" s="3">
        <v>68</v>
      </c>
      <c r="B69" s="1">
        <v>46237</v>
      </c>
      <c r="C69" s="9" t="s">
        <v>43</v>
      </c>
      <c r="D69" s="10" t="s">
        <v>68</v>
      </c>
      <c r="E69" s="4">
        <v>257.55</v>
      </c>
      <c r="F69" s="3">
        <v>38</v>
      </c>
      <c r="G69" s="4">
        <f t="shared" si="1"/>
        <v>9786.9</v>
      </c>
      <c r="H69" s="4">
        <v>1541.49</v>
      </c>
      <c r="I69" s="9" t="s">
        <v>16</v>
      </c>
      <c r="J69" s="9" t="s">
        <v>17</v>
      </c>
      <c r="K69" s="3" t="s">
        <v>53</v>
      </c>
      <c r="L69" s="3">
        <v>32</v>
      </c>
    </row>
    <row r="70" spans="1:12" x14ac:dyDescent="0.25">
      <c r="A70" s="3">
        <v>69</v>
      </c>
      <c r="B70" s="1">
        <v>46239</v>
      </c>
      <c r="C70" s="9" t="s">
        <v>44</v>
      </c>
      <c r="D70" s="10" t="s">
        <v>65</v>
      </c>
      <c r="E70" s="4">
        <v>442.86</v>
      </c>
      <c r="F70" s="3">
        <v>65</v>
      </c>
      <c r="G70" s="4">
        <f t="shared" si="1"/>
        <v>28785.9</v>
      </c>
      <c r="H70" s="4">
        <v>5660.28</v>
      </c>
      <c r="I70" s="9" t="s">
        <v>18</v>
      </c>
      <c r="J70" s="9" t="s">
        <v>17</v>
      </c>
      <c r="K70" s="3" t="s">
        <v>53</v>
      </c>
      <c r="L70" s="3">
        <v>32</v>
      </c>
    </row>
    <row r="71" spans="1:12" x14ac:dyDescent="0.25">
      <c r="A71" s="3">
        <v>70</v>
      </c>
      <c r="B71" s="1">
        <v>46241</v>
      </c>
      <c r="C71" s="9" t="s">
        <v>45</v>
      </c>
      <c r="D71" s="10" t="s">
        <v>64</v>
      </c>
      <c r="E71" s="4">
        <v>459.77</v>
      </c>
      <c r="F71" s="3">
        <v>64</v>
      </c>
      <c r="G71" s="4">
        <f t="shared" si="1"/>
        <v>29425.279999999999</v>
      </c>
      <c r="H71" s="4">
        <v>8347.85</v>
      </c>
      <c r="I71" s="9" t="s">
        <v>16</v>
      </c>
      <c r="J71" s="9" t="s">
        <v>17</v>
      </c>
      <c r="K71" s="3" t="s">
        <v>53</v>
      </c>
      <c r="L71" s="3">
        <v>32</v>
      </c>
    </row>
    <row r="72" spans="1:12" x14ac:dyDescent="0.25">
      <c r="A72" s="3">
        <v>71</v>
      </c>
      <c r="B72" s="1">
        <v>46266</v>
      </c>
      <c r="C72" s="9" t="s">
        <v>46</v>
      </c>
      <c r="D72" s="10" t="s">
        <v>63</v>
      </c>
      <c r="E72" s="4">
        <v>219.86</v>
      </c>
      <c r="F72" s="3">
        <v>69</v>
      </c>
      <c r="G72" s="4">
        <f t="shared" si="1"/>
        <v>15170.34</v>
      </c>
      <c r="H72" s="4">
        <v>3820.08</v>
      </c>
      <c r="I72" s="9" t="s">
        <v>18</v>
      </c>
      <c r="J72" s="9" t="s">
        <v>17</v>
      </c>
      <c r="K72" s="3" t="s">
        <v>70</v>
      </c>
      <c r="L72" s="3">
        <v>36</v>
      </c>
    </row>
    <row r="73" spans="1:12" x14ac:dyDescent="0.25">
      <c r="A73" s="3">
        <v>72</v>
      </c>
      <c r="B73" s="1">
        <v>46270</v>
      </c>
      <c r="C73" s="9" t="s">
        <v>47</v>
      </c>
      <c r="D73" s="10" t="s">
        <v>26</v>
      </c>
      <c r="E73" s="4">
        <v>308.70999999999998</v>
      </c>
      <c r="F73" s="3">
        <v>10</v>
      </c>
      <c r="G73" s="4">
        <f t="shared" si="1"/>
        <v>3087.1</v>
      </c>
      <c r="H73" s="4">
        <v>655.75</v>
      </c>
      <c r="I73" s="9" t="s">
        <v>16</v>
      </c>
      <c r="J73" s="9" t="s">
        <v>17</v>
      </c>
      <c r="K73" s="3" t="s">
        <v>70</v>
      </c>
      <c r="L73" s="3">
        <v>36</v>
      </c>
    </row>
    <row r="74" spans="1:12" x14ac:dyDescent="0.25">
      <c r="A74" s="3">
        <v>73</v>
      </c>
      <c r="B74" s="1">
        <v>46282</v>
      </c>
      <c r="C74" s="9" t="s">
        <v>37</v>
      </c>
      <c r="D74" s="10" t="s">
        <v>34</v>
      </c>
      <c r="E74" s="4">
        <v>257.07</v>
      </c>
      <c r="F74" s="3">
        <v>32</v>
      </c>
      <c r="G74" s="4">
        <f t="shared" si="1"/>
        <v>8226.24</v>
      </c>
      <c r="H74" s="4">
        <v>2180.14</v>
      </c>
      <c r="I74" s="9" t="s">
        <v>16</v>
      </c>
      <c r="J74" s="9" t="s">
        <v>17</v>
      </c>
      <c r="K74" s="3" t="s">
        <v>70</v>
      </c>
      <c r="L74" s="3">
        <v>38</v>
      </c>
    </row>
    <row r="75" spans="1:12" x14ac:dyDescent="0.25">
      <c r="A75" s="3">
        <v>74</v>
      </c>
      <c r="B75" s="1">
        <v>46284</v>
      </c>
      <c r="C75" s="9" t="s">
        <v>48</v>
      </c>
      <c r="D75" s="10" t="s">
        <v>52</v>
      </c>
      <c r="E75" s="4">
        <v>215.32</v>
      </c>
      <c r="F75" s="3">
        <v>87</v>
      </c>
      <c r="G75" s="4">
        <f t="shared" si="1"/>
        <v>18732.84</v>
      </c>
      <c r="H75" s="4">
        <v>4877.93</v>
      </c>
      <c r="I75" s="9" t="s">
        <v>84</v>
      </c>
      <c r="J75" s="9" t="s">
        <v>17</v>
      </c>
      <c r="K75" s="3" t="s">
        <v>70</v>
      </c>
      <c r="L75" s="3">
        <v>38</v>
      </c>
    </row>
    <row r="76" spans="1:12" x14ac:dyDescent="0.25">
      <c r="A76" s="3">
        <v>75</v>
      </c>
      <c r="B76" s="1">
        <v>46285</v>
      </c>
      <c r="C76" s="9" t="s">
        <v>38</v>
      </c>
      <c r="D76" s="10" t="s">
        <v>27</v>
      </c>
      <c r="E76" s="4">
        <v>398.01</v>
      </c>
      <c r="F76" s="3">
        <v>48</v>
      </c>
      <c r="G76" s="4">
        <f t="shared" si="1"/>
        <v>19104.48</v>
      </c>
      <c r="H76" s="4">
        <v>5575.04</v>
      </c>
      <c r="I76" s="9" t="s">
        <v>18</v>
      </c>
      <c r="J76" s="9" t="s">
        <v>17</v>
      </c>
      <c r="K76" s="3" t="s">
        <v>70</v>
      </c>
      <c r="L76" s="3">
        <v>38</v>
      </c>
    </row>
    <row r="77" spans="1:12" x14ac:dyDescent="0.25">
      <c r="A77" s="3">
        <v>76</v>
      </c>
      <c r="B77" s="1">
        <v>46285</v>
      </c>
      <c r="C77" s="9" t="s">
        <v>49</v>
      </c>
      <c r="D77" s="10" t="s">
        <v>63</v>
      </c>
      <c r="E77" s="4">
        <v>81.41</v>
      </c>
      <c r="F77" s="3">
        <v>48</v>
      </c>
      <c r="G77" s="4">
        <f t="shared" si="1"/>
        <v>3907.68</v>
      </c>
      <c r="H77" s="4">
        <v>405.65</v>
      </c>
      <c r="I77" s="9" t="s">
        <v>78</v>
      </c>
      <c r="J77" s="9" t="s">
        <v>9</v>
      </c>
      <c r="K77" s="3" t="s">
        <v>70</v>
      </c>
      <c r="L77" s="3">
        <v>38</v>
      </c>
    </row>
    <row r="78" spans="1:12" x14ac:dyDescent="0.25">
      <c r="A78" s="3">
        <v>77</v>
      </c>
      <c r="B78" s="1">
        <v>46290</v>
      </c>
      <c r="C78" s="9" t="s">
        <v>50</v>
      </c>
      <c r="D78" s="10" t="s">
        <v>15</v>
      </c>
      <c r="E78" s="4">
        <v>474.08</v>
      </c>
      <c r="F78" s="3">
        <v>43</v>
      </c>
      <c r="G78" s="4">
        <f t="shared" si="1"/>
        <v>20385.439999999999</v>
      </c>
      <c r="H78" s="4">
        <v>4951.41</v>
      </c>
      <c r="I78" s="9" t="s">
        <v>78</v>
      </c>
      <c r="J78" s="9" t="s">
        <v>9</v>
      </c>
      <c r="K78" s="3" t="s">
        <v>70</v>
      </c>
      <c r="L78" s="3">
        <v>39</v>
      </c>
    </row>
    <row r="79" spans="1:12" x14ac:dyDescent="0.25">
      <c r="A79" s="3">
        <v>78</v>
      </c>
      <c r="B79" s="1">
        <v>46290</v>
      </c>
      <c r="C79" s="9" t="s">
        <v>43</v>
      </c>
      <c r="D79" s="10" t="s">
        <v>67</v>
      </c>
      <c r="E79" s="4">
        <v>141.16</v>
      </c>
      <c r="F79" s="3">
        <v>8</v>
      </c>
      <c r="G79" s="4">
        <f>E79*F79</f>
        <v>1129.28</v>
      </c>
      <c r="H79" s="4">
        <v>315.36</v>
      </c>
      <c r="I79" s="9" t="s">
        <v>18</v>
      </c>
      <c r="J79" s="9" t="s">
        <v>17</v>
      </c>
      <c r="K79" s="3" t="s">
        <v>70</v>
      </c>
      <c r="L79" s="3">
        <v>39</v>
      </c>
    </row>
    <row r="80" spans="1:12" x14ac:dyDescent="0.25">
      <c r="A80" s="3">
        <v>79</v>
      </c>
      <c r="B80" s="1">
        <v>46291</v>
      </c>
      <c r="C80" s="9" t="s">
        <v>39</v>
      </c>
      <c r="D80" s="10" t="s">
        <v>61</v>
      </c>
      <c r="E80" s="4">
        <v>484.42</v>
      </c>
      <c r="F80" s="3">
        <v>36</v>
      </c>
      <c r="G80" s="4">
        <f t="shared" si="1"/>
        <v>17439.12</v>
      </c>
      <c r="H80" s="4">
        <v>4893.78</v>
      </c>
      <c r="I80" s="9" t="s">
        <v>18</v>
      </c>
      <c r="J80" s="9" t="s">
        <v>17</v>
      </c>
      <c r="K80" s="3" t="s">
        <v>70</v>
      </c>
      <c r="L80" s="3">
        <v>39</v>
      </c>
    </row>
    <row r="81" spans="1:12" x14ac:dyDescent="0.25">
      <c r="A81" s="3">
        <v>80</v>
      </c>
      <c r="B81" s="1">
        <v>46292</v>
      </c>
      <c r="C81" s="9" t="s">
        <v>42</v>
      </c>
      <c r="D81" s="10" t="s">
        <v>67</v>
      </c>
      <c r="E81" s="4">
        <v>484.53</v>
      </c>
      <c r="F81" s="3">
        <v>94</v>
      </c>
      <c r="G81" s="4">
        <f t="shared" si="1"/>
        <v>45545.82</v>
      </c>
      <c r="H81" s="4">
        <v>11476.85</v>
      </c>
      <c r="I81" s="9" t="s">
        <v>82</v>
      </c>
      <c r="J81" s="9" t="s">
        <v>81</v>
      </c>
      <c r="K81" s="3" t="s">
        <v>70</v>
      </c>
      <c r="L81" s="3">
        <v>39</v>
      </c>
    </row>
    <row r="82" spans="1:12" x14ac:dyDescent="0.25">
      <c r="A82" s="3">
        <v>81</v>
      </c>
      <c r="B82" s="1">
        <v>46294</v>
      </c>
      <c r="C82" s="9" t="s">
        <v>44</v>
      </c>
      <c r="D82" s="10" t="s">
        <v>67</v>
      </c>
      <c r="E82" s="4">
        <v>389.92</v>
      </c>
      <c r="F82" s="3">
        <v>41</v>
      </c>
      <c r="G82" s="4">
        <f t="shared" si="1"/>
        <v>15986.720000000001</v>
      </c>
      <c r="H82" s="4">
        <v>3120.26</v>
      </c>
      <c r="I82" s="9" t="s">
        <v>83</v>
      </c>
      <c r="J82" s="9" t="s">
        <v>81</v>
      </c>
      <c r="K82" s="3" t="s">
        <v>70</v>
      </c>
      <c r="L82" s="3">
        <v>40</v>
      </c>
    </row>
    <row r="83" spans="1:12" x14ac:dyDescent="0.25">
      <c r="A83" s="3">
        <v>82</v>
      </c>
      <c r="B83" s="1">
        <v>46305</v>
      </c>
      <c r="C83" s="9" t="s">
        <v>36</v>
      </c>
      <c r="D83" s="10" t="s">
        <v>28</v>
      </c>
      <c r="E83" s="4">
        <v>329.58</v>
      </c>
      <c r="F83" s="3">
        <v>94</v>
      </c>
      <c r="G83" s="4">
        <f t="shared" si="1"/>
        <v>30980.519999999997</v>
      </c>
      <c r="H83" s="4">
        <v>8740.64</v>
      </c>
      <c r="I83" s="9" t="s">
        <v>18</v>
      </c>
      <c r="J83" s="9" t="s">
        <v>17</v>
      </c>
      <c r="K83" s="3" t="s">
        <v>71</v>
      </c>
      <c r="L83" s="3">
        <v>41</v>
      </c>
    </row>
    <row r="84" spans="1:12" x14ac:dyDescent="0.25">
      <c r="A84" s="3">
        <v>83</v>
      </c>
      <c r="B84" s="1">
        <v>46309</v>
      </c>
      <c r="C84" s="9" t="s">
        <v>11</v>
      </c>
      <c r="D84" s="10" t="s">
        <v>28</v>
      </c>
      <c r="E84" s="4">
        <v>467.19</v>
      </c>
      <c r="F84" s="3">
        <v>73</v>
      </c>
      <c r="G84" s="4">
        <f t="shared" si="1"/>
        <v>34104.870000000003</v>
      </c>
      <c r="H84" s="4">
        <v>5347</v>
      </c>
      <c r="I84" s="9" t="s">
        <v>76</v>
      </c>
      <c r="J84" s="9" t="s">
        <v>9</v>
      </c>
      <c r="K84" s="3" t="s">
        <v>71</v>
      </c>
      <c r="L84" s="3">
        <v>42</v>
      </c>
    </row>
    <row r="85" spans="1:12" x14ac:dyDescent="0.25">
      <c r="A85" s="3">
        <v>84</v>
      </c>
      <c r="B85" s="1">
        <v>46315</v>
      </c>
      <c r="C85" s="9" t="s">
        <v>14</v>
      </c>
      <c r="D85" s="10" t="s">
        <v>60</v>
      </c>
      <c r="E85" s="4">
        <v>365.96</v>
      </c>
      <c r="F85" s="3">
        <v>90</v>
      </c>
      <c r="G85" s="4">
        <f t="shared" si="1"/>
        <v>32936.400000000001</v>
      </c>
      <c r="H85" s="4">
        <v>6814.21</v>
      </c>
      <c r="I85" s="9" t="s">
        <v>18</v>
      </c>
      <c r="J85" s="9" t="s">
        <v>17</v>
      </c>
      <c r="K85" s="3" t="s">
        <v>71</v>
      </c>
      <c r="L85" s="3">
        <v>43</v>
      </c>
    </row>
    <row r="86" spans="1:12" x14ac:dyDescent="0.25">
      <c r="A86" s="3">
        <v>85</v>
      </c>
      <c r="B86" s="1">
        <v>46327</v>
      </c>
      <c r="C86" s="9" t="s">
        <v>19</v>
      </c>
      <c r="D86" s="10" t="s">
        <v>30</v>
      </c>
      <c r="E86" s="4">
        <v>42.68</v>
      </c>
      <c r="F86" s="3">
        <v>99</v>
      </c>
      <c r="G86" s="4">
        <f t="shared" si="1"/>
        <v>4225.32</v>
      </c>
      <c r="H86" s="4">
        <v>1254.96</v>
      </c>
      <c r="I86" s="9" t="s">
        <v>18</v>
      </c>
      <c r="J86" s="9" t="s">
        <v>17</v>
      </c>
      <c r="K86" s="3" t="s">
        <v>72</v>
      </c>
      <c r="L86" s="3">
        <v>44</v>
      </c>
    </row>
    <row r="87" spans="1:12" x14ac:dyDescent="0.25">
      <c r="A87" s="3">
        <v>86</v>
      </c>
      <c r="B87" s="1">
        <v>46328</v>
      </c>
      <c r="C87" s="9" t="s">
        <v>7</v>
      </c>
      <c r="D87" s="10" t="s">
        <v>30</v>
      </c>
      <c r="E87" s="4">
        <v>31.73</v>
      </c>
      <c r="F87" s="3">
        <v>79</v>
      </c>
      <c r="G87" s="4">
        <f t="shared" si="1"/>
        <v>2506.67</v>
      </c>
      <c r="H87" s="4">
        <v>390.27</v>
      </c>
      <c r="I87" s="9" t="s">
        <v>55</v>
      </c>
      <c r="J87" s="9" t="s">
        <v>17</v>
      </c>
      <c r="K87" s="3" t="s">
        <v>72</v>
      </c>
      <c r="L87" s="3">
        <v>45</v>
      </c>
    </row>
    <row r="88" spans="1:12" x14ac:dyDescent="0.25">
      <c r="A88" s="3">
        <v>87</v>
      </c>
      <c r="B88" s="1">
        <v>46328</v>
      </c>
      <c r="C88" s="9" t="s">
        <v>14</v>
      </c>
      <c r="D88" s="10" t="s">
        <v>28</v>
      </c>
      <c r="E88" s="4">
        <v>354.86</v>
      </c>
      <c r="F88" s="3">
        <v>8</v>
      </c>
      <c r="G88" s="4">
        <f t="shared" si="1"/>
        <v>2838.88</v>
      </c>
      <c r="H88" s="4">
        <v>785.96</v>
      </c>
      <c r="I88" s="9" t="s">
        <v>76</v>
      </c>
      <c r="J88" s="9" t="s">
        <v>9</v>
      </c>
      <c r="K88" s="3" t="s">
        <v>72</v>
      </c>
      <c r="L88" s="3">
        <v>45</v>
      </c>
    </row>
    <row r="89" spans="1:12" x14ac:dyDescent="0.25">
      <c r="A89" s="3">
        <v>88</v>
      </c>
      <c r="B89" s="1">
        <v>46329</v>
      </c>
      <c r="C89" s="9" t="s">
        <v>19</v>
      </c>
      <c r="D89" s="10" t="s">
        <v>67</v>
      </c>
      <c r="E89" s="4">
        <v>262.32</v>
      </c>
      <c r="F89" s="3">
        <v>2</v>
      </c>
      <c r="G89" s="4">
        <f t="shared" si="1"/>
        <v>524.64</v>
      </c>
      <c r="H89" s="4">
        <v>118.76</v>
      </c>
      <c r="I89" s="9" t="s">
        <v>18</v>
      </c>
      <c r="J89" s="9" t="s">
        <v>17</v>
      </c>
      <c r="K89" s="3" t="s">
        <v>72</v>
      </c>
      <c r="L89" s="3">
        <v>45</v>
      </c>
    </row>
    <row r="90" spans="1:12" x14ac:dyDescent="0.25">
      <c r="A90" s="3">
        <v>89</v>
      </c>
      <c r="B90" s="1">
        <v>46334</v>
      </c>
      <c r="C90" s="9" t="s">
        <v>7</v>
      </c>
      <c r="D90" s="10" t="s">
        <v>12</v>
      </c>
      <c r="E90" s="4">
        <v>160.91</v>
      </c>
      <c r="F90" s="3">
        <v>68</v>
      </c>
      <c r="G90" s="4">
        <f t="shared" si="1"/>
        <v>10941.88</v>
      </c>
      <c r="H90" s="4">
        <v>1312.82</v>
      </c>
      <c r="I90" s="9" t="s">
        <v>18</v>
      </c>
      <c r="J90" s="9" t="s">
        <v>17</v>
      </c>
      <c r="K90" s="3" t="s">
        <v>72</v>
      </c>
      <c r="L90" s="3">
        <v>45</v>
      </c>
    </row>
    <row r="91" spans="1:12" x14ac:dyDescent="0.25">
      <c r="A91" s="3">
        <v>90</v>
      </c>
      <c r="B91" s="1">
        <v>46341</v>
      </c>
      <c r="C91" s="9" t="s">
        <v>11</v>
      </c>
      <c r="D91" s="10" t="s">
        <v>67</v>
      </c>
      <c r="E91" s="4">
        <v>252.81</v>
      </c>
      <c r="F91" s="3">
        <v>99</v>
      </c>
      <c r="G91" s="4">
        <f t="shared" si="1"/>
        <v>25028.19</v>
      </c>
      <c r="H91" s="4">
        <v>6539.14</v>
      </c>
      <c r="I91" s="9" t="s">
        <v>74</v>
      </c>
      <c r="J91" s="9" t="s">
        <v>9</v>
      </c>
      <c r="K91" s="3" t="s">
        <v>72</v>
      </c>
      <c r="L91" s="3">
        <v>46</v>
      </c>
    </row>
    <row r="92" spans="1:12" x14ac:dyDescent="0.25">
      <c r="A92" s="3">
        <v>91</v>
      </c>
      <c r="B92" s="1">
        <v>46346</v>
      </c>
      <c r="C92" s="9" t="s">
        <v>14</v>
      </c>
      <c r="D92" s="10" t="s">
        <v>62</v>
      </c>
      <c r="E92" s="4">
        <v>494.91</v>
      </c>
      <c r="F92" s="3">
        <v>65</v>
      </c>
      <c r="G92" s="4">
        <f t="shared" si="1"/>
        <v>32169.15</v>
      </c>
      <c r="H92" s="4">
        <v>6524.36</v>
      </c>
      <c r="I92" s="9" t="s">
        <v>74</v>
      </c>
      <c r="J92" s="9" t="s">
        <v>9</v>
      </c>
      <c r="K92" s="3" t="s">
        <v>72</v>
      </c>
      <c r="L92" s="3">
        <v>47</v>
      </c>
    </row>
    <row r="93" spans="1:12" x14ac:dyDescent="0.25">
      <c r="A93" s="3">
        <v>92</v>
      </c>
      <c r="B93" s="1">
        <v>46347</v>
      </c>
      <c r="C93" s="9" t="s">
        <v>19</v>
      </c>
      <c r="D93" s="10" t="s">
        <v>15</v>
      </c>
      <c r="E93" s="4">
        <v>228.21</v>
      </c>
      <c r="F93" s="3">
        <v>97</v>
      </c>
      <c r="G93" s="4">
        <f t="shared" si="1"/>
        <v>22136.37</v>
      </c>
      <c r="H93" s="4">
        <v>5350.5</v>
      </c>
      <c r="I93" s="9" t="s">
        <v>84</v>
      </c>
      <c r="J93" s="9" t="s">
        <v>17</v>
      </c>
      <c r="K93" s="3" t="s">
        <v>72</v>
      </c>
      <c r="L93" s="3">
        <v>47</v>
      </c>
    </row>
    <row r="94" spans="1:12" x14ac:dyDescent="0.25">
      <c r="A94" s="3">
        <v>93</v>
      </c>
      <c r="B94" s="1">
        <v>46351</v>
      </c>
      <c r="C94" s="9" t="s">
        <v>7</v>
      </c>
      <c r="D94" s="10" t="s">
        <v>63</v>
      </c>
      <c r="E94" s="4">
        <v>243.82</v>
      </c>
      <c r="F94" s="3">
        <v>96</v>
      </c>
      <c r="G94" s="4">
        <f t="shared" si="1"/>
        <v>23406.720000000001</v>
      </c>
      <c r="H94" s="4">
        <v>6223.1</v>
      </c>
      <c r="I94" s="9" t="s">
        <v>55</v>
      </c>
      <c r="J94" s="9" t="s">
        <v>17</v>
      </c>
      <c r="K94" s="3" t="s">
        <v>72</v>
      </c>
      <c r="L94" s="3">
        <v>48</v>
      </c>
    </row>
    <row r="95" spans="1:12" x14ac:dyDescent="0.25">
      <c r="A95" s="3">
        <v>94</v>
      </c>
      <c r="B95" s="1">
        <v>46354</v>
      </c>
      <c r="C95" s="9" t="s">
        <v>11</v>
      </c>
      <c r="D95" s="10" t="s">
        <v>68</v>
      </c>
      <c r="E95" s="4">
        <v>417.56</v>
      </c>
      <c r="F95" s="3">
        <v>99</v>
      </c>
      <c r="G95" s="4">
        <f t="shared" si="1"/>
        <v>41338.44</v>
      </c>
      <c r="H95" s="4">
        <v>4203.12</v>
      </c>
      <c r="I95" s="9" t="s">
        <v>18</v>
      </c>
      <c r="J95" s="9" t="s">
        <v>17</v>
      </c>
      <c r="K95" s="3" t="s">
        <v>72</v>
      </c>
      <c r="L95" s="3">
        <v>48</v>
      </c>
    </row>
    <row r="96" spans="1:12" x14ac:dyDescent="0.25">
      <c r="A96" s="3">
        <v>95</v>
      </c>
      <c r="B96" s="1">
        <v>46355</v>
      </c>
      <c r="C96" s="9" t="s">
        <v>14</v>
      </c>
      <c r="D96" s="10" t="s">
        <v>62</v>
      </c>
      <c r="E96" s="4">
        <v>343.46</v>
      </c>
      <c r="F96" s="3">
        <v>97</v>
      </c>
      <c r="G96" s="4">
        <f t="shared" si="1"/>
        <v>33315.619999999995</v>
      </c>
      <c r="H96" s="4">
        <v>6520.91</v>
      </c>
      <c r="I96" s="9" t="s">
        <v>18</v>
      </c>
      <c r="J96" s="9" t="s">
        <v>17</v>
      </c>
      <c r="K96" s="3" t="s">
        <v>72</v>
      </c>
      <c r="L96" s="3">
        <v>48</v>
      </c>
    </row>
    <row r="97" spans="1:12" x14ac:dyDescent="0.25">
      <c r="A97" s="3">
        <v>96</v>
      </c>
      <c r="B97" s="1">
        <v>46363</v>
      </c>
      <c r="C97" s="9" t="s">
        <v>19</v>
      </c>
      <c r="D97" s="10" t="s">
        <v>27</v>
      </c>
      <c r="E97" s="4">
        <v>7.33</v>
      </c>
      <c r="F97" s="3">
        <v>30</v>
      </c>
      <c r="G97" s="4">
        <f t="shared" si="1"/>
        <v>219.9</v>
      </c>
      <c r="H97" s="4">
        <v>53.53</v>
      </c>
      <c r="I97" s="9" t="s">
        <v>79</v>
      </c>
      <c r="J97" s="9" t="s">
        <v>9</v>
      </c>
      <c r="K97" s="3" t="s">
        <v>73</v>
      </c>
      <c r="L97" s="3">
        <v>50</v>
      </c>
    </row>
    <row r="98" spans="1:12" x14ac:dyDescent="0.25">
      <c r="A98" s="3">
        <v>97</v>
      </c>
      <c r="B98" s="1">
        <v>46365</v>
      </c>
      <c r="C98" s="9" t="s">
        <v>7</v>
      </c>
      <c r="D98" s="10" t="s">
        <v>20</v>
      </c>
      <c r="E98" s="4">
        <v>272.64999999999998</v>
      </c>
      <c r="F98" s="3">
        <v>25</v>
      </c>
      <c r="G98" s="4">
        <f t="shared" si="1"/>
        <v>6816.2499999999991</v>
      </c>
      <c r="H98" s="4">
        <v>1966.28</v>
      </c>
      <c r="I98" s="9" t="s">
        <v>18</v>
      </c>
      <c r="J98" s="9" t="s">
        <v>17</v>
      </c>
      <c r="K98" s="3" t="s">
        <v>73</v>
      </c>
      <c r="L98" s="3">
        <v>50</v>
      </c>
    </row>
    <row r="99" spans="1:12" x14ac:dyDescent="0.25">
      <c r="A99" s="3">
        <v>98</v>
      </c>
      <c r="B99" s="1">
        <v>46369</v>
      </c>
      <c r="C99" s="9" t="s">
        <v>11</v>
      </c>
      <c r="D99" s="10" t="s">
        <v>28</v>
      </c>
      <c r="E99" s="4">
        <v>98.78</v>
      </c>
      <c r="F99" s="3">
        <v>7</v>
      </c>
      <c r="G99" s="4">
        <f t="shared" si="1"/>
        <v>691.46</v>
      </c>
      <c r="H99" s="4">
        <v>165.55</v>
      </c>
      <c r="I99" s="9" t="s">
        <v>79</v>
      </c>
      <c r="J99" s="9" t="s">
        <v>9</v>
      </c>
      <c r="K99" s="3" t="s">
        <v>73</v>
      </c>
      <c r="L99" s="3">
        <v>50</v>
      </c>
    </row>
    <row r="100" spans="1:12" x14ac:dyDescent="0.25">
      <c r="A100" s="3">
        <v>99</v>
      </c>
      <c r="B100" s="1">
        <v>46371</v>
      </c>
      <c r="C100" s="9" t="s">
        <v>14</v>
      </c>
      <c r="D100" s="10" t="s">
        <v>68</v>
      </c>
      <c r="E100" s="4">
        <v>36.14</v>
      </c>
      <c r="F100" s="3">
        <v>52</v>
      </c>
      <c r="G100" s="4">
        <f t="shared" si="1"/>
        <v>1879.28</v>
      </c>
      <c r="H100" s="4">
        <v>441.35</v>
      </c>
      <c r="I100" s="9" t="s">
        <v>55</v>
      </c>
      <c r="J100" s="9" t="s">
        <v>17</v>
      </c>
      <c r="K100" s="3" t="s">
        <v>73</v>
      </c>
      <c r="L100" s="3">
        <v>51</v>
      </c>
    </row>
    <row r="101" spans="1:12" x14ac:dyDescent="0.25">
      <c r="A101" s="3">
        <v>100</v>
      </c>
      <c r="B101" s="1">
        <v>46372</v>
      </c>
      <c r="C101" s="9" t="s">
        <v>19</v>
      </c>
      <c r="D101" s="10" t="s">
        <v>34</v>
      </c>
      <c r="E101" s="4">
        <v>323.49</v>
      </c>
      <c r="F101" s="3">
        <v>86</v>
      </c>
      <c r="G101" s="4">
        <f t="shared" si="1"/>
        <v>27820.14</v>
      </c>
      <c r="H101" s="4">
        <v>4153.8500000000004</v>
      </c>
      <c r="I101" s="9" t="s">
        <v>55</v>
      </c>
      <c r="J101" s="9" t="s">
        <v>17</v>
      </c>
      <c r="K101" s="3" t="s">
        <v>73</v>
      </c>
      <c r="L101" s="3">
        <v>51</v>
      </c>
    </row>
    <row r="102" spans="1:12" x14ac:dyDescent="0.25">
      <c r="G102" s="5">
        <f>SUM(G2:G101)</f>
        <v>1405406.5099999993</v>
      </c>
    </row>
    <row r="1048576" spans="7:8" x14ac:dyDescent="0.25">
      <c r="G1048576" s="5">
        <f>SUM(G2:G1048575)</f>
        <v>2810813.0199999986</v>
      </c>
      <c r="H1048576" s="5">
        <f>SUM(H2:H1048575)</f>
        <v>298120.95999999985</v>
      </c>
    </row>
  </sheetData>
  <autoFilter ref="A1:L101" xr:uid="{00000000-0001-0000-0000-000000000000}"/>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3</vt:i4>
      </vt:variant>
    </vt:vector>
  </HeadingPairs>
  <TitlesOfParts>
    <vt:vector size="3" baseType="lpstr">
      <vt:lpstr>Dashboard</vt:lpstr>
      <vt:lpstr>Pivot_tables</vt:lpstr>
      <vt:lpstr>Database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Ahmidatou, Abderrahmane  1 /DZ</dc:creator>
  <cp:lastModifiedBy>seleem</cp:lastModifiedBy>
  <cp:lastPrinted>2025-05-14T07:55:59Z</cp:lastPrinted>
  <dcterms:created xsi:type="dcterms:W3CDTF">2024-11-27T08:38:26Z</dcterms:created>
  <dcterms:modified xsi:type="dcterms:W3CDTF">2025-05-15T11:00:29Z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SIP_Label_d9088468-0951-4aef-9cc3-0a346e475ddc_Enabled">
    <vt:lpwstr>true</vt:lpwstr>
  </property>
  <property fmtid="{D5CDD505-2E9C-101B-9397-08002B2CF9AE}" pid="3" name="MSIP_Label_d9088468-0951-4aef-9cc3-0a346e475ddc_SetDate">
    <vt:lpwstr>2024-11-27T10:20:12Z</vt:lpwstr>
  </property>
  <property fmtid="{D5CDD505-2E9C-101B-9397-08002B2CF9AE}" pid="4" name="MSIP_Label_d9088468-0951-4aef-9cc3-0a346e475ddc_Method">
    <vt:lpwstr>Privileged</vt:lpwstr>
  </property>
  <property fmtid="{D5CDD505-2E9C-101B-9397-08002B2CF9AE}" pid="5" name="MSIP_Label_d9088468-0951-4aef-9cc3-0a346e475ddc_Name">
    <vt:lpwstr>Public</vt:lpwstr>
  </property>
  <property fmtid="{D5CDD505-2E9C-101B-9397-08002B2CF9AE}" pid="6" name="MSIP_Label_d9088468-0951-4aef-9cc3-0a346e475ddc_SiteId">
    <vt:lpwstr>aca3c8d6-aa71-4e1a-a10e-03572fc58c0b</vt:lpwstr>
  </property>
  <property fmtid="{D5CDD505-2E9C-101B-9397-08002B2CF9AE}" pid="7" name="MSIP_Label_d9088468-0951-4aef-9cc3-0a346e475ddc_ActionId">
    <vt:lpwstr>4f2fa609-f4d1-4bc0-8273-681d9dbc834e</vt:lpwstr>
  </property>
  <property fmtid="{D5CDD505-2E9C-101B-9397-08002B2CF9AE}" pid="8" name="MSIP_Label_d9088468-0951-4aef-9cc3-0a346e475ddc_ContentBits">
    <vt:lpwstr>0</vt:lpwstr>
  </property>
</Properties>
</file>